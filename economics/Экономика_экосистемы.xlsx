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Расчёт" sheetId="3" state="visible" r:id="rId3"/>
    <sheet xmlns:r="http://schemas.openxmlformats.org/officeDocument/2006/relationships" name="Сценарии" sheetId="4" state="visible" r:id="rId4"/>
    <sheet xmlns:r="http://schemas.openxmlformats.org/officeDocument/2006/relationships" name="XP" sheetId="5" state="visible" r:id="rId5"/>
    <sheet xmlns:r="http://schemas.openxmlformats.org/officeDocument/2006/relationships" name="Доли партнёров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 ₽&quot;"/>
    <numFmt numFmtId="165" formatCode="#,##0&quot; ₽&quot;"/>
    <numFmt numFmtId="166" formatCode="0.0%"/>
  </numFmts>
  <fonts count="10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b val="1"/>
      <color rgb="00D7FF3D"/>
    </font>
    <font>
      <color rgb="00777777"/>
      <sz val="9"/>
    </font>
    <font>
      <i val="1"/>
      <color rgb="00666666"/>
    </font>
    <font>
      <i val="1"/>
      <color rgb="00666666"/>
      <sz val="9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B2B2B"/>
      </patternFill>
    </fill>
    <fill>
      <patternFill patternType="solid">
        <fgColor rgb="00FFF4C2"/>
      </patternFill>
    </fill>
    <fill>
      <patternFill patternType="solid">
        <fgColor rgb="00EAF7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  <xf numFmtId="164" fontId="0" fillId="5" borderId="0" pivotButton="0" quotePrefix="0" xfId="0"/>
    <xf numFmtId="10" fontId="0" fillId="5" borderId="0" pivotButton="0" quotePrefix="0" xfId="0"/>
    <xf numFmtId="3" fontId="0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0" fontId="8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5" borderId="0" pivotButton="0" quotePrefix="0" xfId="0"/>
    <xf numFmtId="2" fontId="0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Экономика SevastopolAI · City Code · YuRichRWA — v1.1 от 2026-10-25</t>
        </is>
      </c>
    </row>
    <row r="2">
      <c r="A2" s="2" t="inlineStr">
        <is>
          <t>Источник правды — economics/params.json. Этот файл собирается скриптом economics/build_model.py.</t>
        </is>
      </c>
    </row>
    <row r="3">
      <c r="A3" s="2" t="inlineStr">
        <is>
          <t>Жёлтое — вводные (можно менять здесь, но потом перенеси в params.json). Зелёное — итоги. Всё остальное — формулы.</t>
        </is>
      </c>
    </row>
    <row r="4">
      <c r="A4" s="2" t="inlineStr">
        <is>
          <t>Проверка: python tools/check.py — пересчитывает этот файл независимым движком и сверяет с economics/model.py до копейки.</t>
        </is>
      </c>
    </row>
    <row r="5">
      <c r="A5" s="2" t="inlineStr">
        <is>
          <t>Оборот партнёров ≠ наша выручка. Сценарии — модель, не факт. Зарплата основателя не учтена.</t>
        </is>
      </c>
    </row>
    <row r="6">
      <c r="A6" s="2" t="inlineStr"/>
    </row>
    <row r="7">
      <c r="A7" s="2" t="inlineStr">
        <is>
          <t>Листы: Параметры → Расчёт (юнит-экономика до копейки) → Сценарии S1–S5 → XP → Доли партнёров.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8" customWidth="1" min="3" max="3"/>
    <col width="16" customWidth="1" min="4" max="4"/>
    <col width="12" customWidth="1" min="5" max="5"/>
    <col width="70" customWidth="1" min="6" max="6"/>
  </cols>
  <sheetData>
    <row r="1">
      <c r="A1" s="3" t="inlineStr">
        <is>
          <t>Ключ</t>
        </is>
      </c>
      <c r="B1" s="3" t="inlineStr">
        <is>
          <t>Параметр</t>
        </is>
      </c>
      <c r="C1" s="3" t="inlineStr">
        <is>
          <t>Ед.</t>
        </is>
      </c>
      <c r="D1" s="3" t="inlineStr">
        <is>
          <t>Значение</t>
        </is>
      </c>
      <c r="E1" s="3" t="inlineStr">
        <is>
          <t>Статус</t>
        </is>
      </c>
      <c r="F1" s="3" t="inlineStr">
        <is>
          <t>Источник</t>
        </is>
      </c>
    </row>
    <row r="2">
      <c r="A2" s="4" t="n"/>
      <c r="B2" s="5" t="inlineStr">
        <is>
          <t>City Code · членство</t>
        </is>
      </c>
      <c r="C2" s="4" t="n"/>
      <c r="D2" s="4" t="n"/>
      <c r="E2" s="4" t="n"/>
      <c r="F2" s="4" t="n"/>
    </row>
    <row r="3">
      <c r="A3" s="6" t="inlineStr">
        <is>
          <t>price_basic</t>
        </is>
      </c>
      <c r="B3" t="inlineStr">
        <is>
          <t>Basic, в год</t>
        </is>
      </c>
      <c r="C3" t="inlineStr">
        <is>
          <t>₽</t>
        </is>
      </c>
      <c r="D3" s="7" t="n">
        <v>5108</v>
      </c>
      <c r="E3" t="inlineStr">
        <is>
          <t>решение</t>
        </is>
      </c>
      <c r="F3" s="6" t="inlineStr">
        <is>
          <t>City Code v1.0, п.3</t>
        </is>
      </c>
    </row>
    <row r="4">
      <c r="A4" s="6" t="inlineStr">
        <is>
          <t>price_founder</t>
        </is>
      </c>
      <c r="B4" t="inlineStr">
        <is>
          <t>«Основатели», в год</t>
        </is>
      </c>
      <c r="C4" t="inlineStr">
        <is>
          <t>₽</t>
        </is>
      </c>
      <c r="D4" s="7" t="n">
        <v>15108</v>
      </c>
      <c r="E4" t="inlineStr">
        <is>
          <t>решение</t>
        </is>
      </c>
      <c r="F4" s="6" t="inlineStr">
        <is>
          <t>City Code v1.0, п.3</t>
        </is>
      </c>
    </row>
    <row r="5">
      <c r="A5" s="6" t="inlineStr">
        <is>
          <t>seats_basic</t>
        </is>
      </c>
      <c r="B5" t="inlineStr">
        <is>
          <t>Мест Basic в первом транше</t>
        </is>
      </c>
      <c r="C5" t="inlineStr">
        <is>
          <t>шт</t>
        </is>
      </c>
      <c r="D5" s="8" t="n">
        <v>250</v>
      </c>
      <c r="E5" t="inlineStr">
        <is>
          <t>решение</t>
        </is>
      </c>
      <c r="F5" s="6" t="inlineStr">
        <is>
          <t>v1.0, п.4</t>
        </is>
      </c>
    </row>
    <row r="6">
      <c r="A6" s="6" t="inlineStr">
        <is>
          <t>seats_founder</t>
        </is>
      </c>
      <c r="B6" t="inlineStr">
        <is>
          <t>Мест «Основатели» в первом транше</t>
        </is>
      </c>
      <c r="C6" t="inlineStr">
        <is>
          <t>шт</t>
        </is>
      </c>
      <c r="D6" s="8" t="n">
        <v>50</v>
      </c>
      <c r="E6" t="inlineStr">
        <is>
          <t>решение</t>
        </is>
      </c>
      <c r="F6" s="6" t="inlineStr">
        <is>
          <t>v1.0, п.4</t>
        </is>
      </c>
    </row>
    <row r="7">
      <c r="A7" s="6" t="inlineStr">
        <is>
          <t>days_year</t>
        </is>
      </c>
      <c r="B7" t="inlineStr">
        <is>
          <t>Дней в году членства</t>
        </is>
      </c>
      <c r="C7" t="inlineStr">
        <is>
          <t>дн</t>
        </is>
      </c>
      <c r="D7" s="8" t="n">
        <v>365</v>
      </c>
      <c r="E7" t="inlineStr">
        <is>
          <t>факт</t>
        </is>
      </c>
      <c r="F7" s="6" t="inlineStr">
        <is>
          <t>срок 12 месяцев, v1.0</t>
        </is>
      </c>
    </row>
    <row r="8">
      <c r="A8" s="6" t="inlineStr">
        <is>
          <t>partners_signed</t>
        </is>
      </c>
      <c r="B8" t="inlineStr">
        <is>
          <t>Подписано партнёров сейчас</t>
        </is>
      </c>
      <c r="C8" t="inlineStr">
        <is>
          <t>шт</t>
        </is>
      </c>
      <c r="D8" s="8" t="n">
        <v>0</v>
      </c>
      <c r="E8" t="inlineStr">
        <is>
          <t>допущение</t>
        </is>
      </c>
      <c r="F8" s="6" t="inlineStr">
        <is>
          <t>обновляй после каждого подписания</t>
        </is>
      </c>
    </row>
    <row r="9">
      <c r="A9" s="6" t="inlineStr">
        <is>
          <t>refund_days_used</t>
        </is>
      </c>
      <c r="B9" t="inlineStr">
        <is>
          <t>Пример возврата: прошло дней</t>
        </is>
      </c>
      <c r="C9" t="inlineStr">
        <is>
          <t>дн</t>
        </is>
      </c>
      <c r="D9" s="8" t="n">
        <v>90</v>
      </c>
      <c r="E9" t="inlineStr">
        <is>
          <t>допущение</t>
        </is>
      </c>
      <c r="F9" s="6" t="inlineStr">
        <is>
          <t>пример для оферты</t>
        </is>
      </c>
    </row>
    <row r="10">
      <c r="A10" s="4" t="n"/>
      <c r="B10" s="5" t="inlineStr">
        <is>
          <t>Расход участника и привилегии</t>
        </is>
      </c>
      <c r="C10" s="4" t="n"/>
      <c r="D10" s="4" t="n"/>
      <c r="E10" s="4" t="n"/>
      <c r="F10" s="4" t="n"/>
    </row>
    <row r="11">
      <c r="A11" s="6" t="inlineStr">
        <is>
          <t>spend</t>
        </is>
      </c>
      <c r="B11" t="inlineStr">
        <is>
          <t>Средний расход участника у партнёров</t>
        </is>
      </c>
      <c r="C11" t="inlineStr">
        <is>
          <t>₽/мес</t>
        </is>
      </c>
      <c r="D11" s="9" t="n">
        <v>7000</v>
      </c>
      <c r="E11" t="inlineStr">
        <is>
          <t>допущение</t>
        </is>
      </c>
      <c r="F11" s="6" t="inlineStr">
        <is>
          <t>v1.0, п.6 — проверить отчётами партнёров</t>
        </is>
      </c>
    </row>
    <row r="12">
      <c r="A12" s="6" t="inlineStr">
        <is>
          <t>priv_min</t>
        </is>
      </c>
      <c r="B12" t="inlineStr">
        <is>
          <t>Привилегия минимум</t>
        </is>
      </c>
      <c r="C12" t="inlineStr">
        <is>
          <t>%</t>
        </is>
      </c>
      <c r="D12" s="10" t="n">
        <v>0.03</v>
      </c>
      <c r="E12" t="inlineStr">
        <is>
          <t>решение</t>
        </is>
      </c>
      <c r="F12" s="6" t="inlineStr">
        <is>
          <t>v1.0, п.5</t>
        </is>
      </c>
    </row>
    <row r="13">
      <c r="A13" s="6" t="inlineStr">
        <is>
          <t>priv_avg</t>
        </is>
      </c>
      <c r="B13" t="inlineStr">
        <is>
          <t>Привилегия в среднем</t>
        </is>
      </c>
      <c r="C13" t="inlineStr">
        <is>
          <t>%</t>
        </is>
      </c>
      <c r="D13" s="10" t="n">
        <v>0.05</v>
      </c>
      <c r="E13" t="inlineStr">
        <is>
          <t>допущение</t>
        </is>
      </c>
      <c r="F13" s="6" t="inlineStr">
        <is>
          <t>середина 3–7%</t>
        </is>
      </c>
    </row>
    <row r="14">
      <c r="A14" s="6" t="inlineStr">
        <is>
          <t>priv_max</t>
        </is>
      </c>
      <c r="B14" t="inlineStr">
        <is>
          <t>Привилегия максимум</t>
        </is>
      </c>
      <c r="C14" t="inlineStr">
        <is>
          <t>%</t>
        </is>
      </c>
      <c r="D14" s="10" t="n">
        <v>0.07000000000000001</v>
      </c>
      <c r="E14" t="inlineStr">
        <is>
          <t>решение</t>
        </is>
      </c>
      <c r="F14" s="6" t="inlineStr">
        <is>
          <t>v1.0, п.5</t>
        </is>
      </c>
    </row>
    <row r="15">
      <c r="A15" s="4" t="n"/>
      <c r="B15" s="5" t="inlineStr">
        <is>
          <t>Партнёр</t>
        </is>
      </c>
      <c r="C15" s="4" t="n"/>
      <c r="D15" s="4" t="n"/>
      <c r="E15" s="4" t="n"/>
      <c r="F15" s="4" t="n"/>
    </row>
    <row r="16">
      <c r="A16" s="6" t="inlineStr">
        <is>
          <t>partner_fee</t>
        </is>
      </c>
      <c r="B16" t="inlineStr">
        <is>
          <t>Вход партнёра в первом транше</t>
        </is>
      </c>
      <c r="C16" t="inlineStr">
        <is>
          <t>₽</t>
        </is>
      </c>
      <c r="D16" s="7" t="n">
        <v>0</v>
      </c>
      <c r="E16" t="inlineStr">
        <is>
          <t>решение</t>
        </is>
      </c>
      <c r="F16" s="6" t="inlineStr">
        <is>
          <t>v1.0, п.5: без платы за вход и без комиссии</t>
        </is>
      </c>
    </row>
    <row r="17">
      <c r="A17" s="6" t="inlineStr">
        <is>
          <t>partner_turnover</t>
        </is>
      </c>
      <c r="B17" t="inlineStr">
        <is>
          <t>Допустимый доп. оборот партнёра от клуба</t>
        </is>
      </c>
      <c r="C17" t="inlineStr">
        <is>
          <t>₽/мес</t>
        </is>
      </c>
      <c r="D17" s="9" t="n">
        <v>105000</v>
      </c>
      <c r="E17" t="inlineStr">
        <is>
          <t>допущение</t>
        </is>
      </c>
      <c r="F17" s="6" t="inlineStr">
        <is>
          <t>спросить у партнёра при подписании; 105 000 = 15 мест</t>
        </is>
      </c>
    </row>
    <row r="18">
      <c r="A18" s="6" t="inlineStr">
        <is>
          <t>partner_margin</t>
        </is>
      </c>
      <c r="B18" t="inlineStr">
        <is>
          <t>Маржинальность партнёра (выручка минус себестоимость)</t>
        </is>
      </c>
      <c r="C18" t="inlineStr">
        <is>
          <t>%</t>
        </is>
      </c>
      <c r="D18" s="10" t="n">
        <v>0.6</v>
      </c>
      <c r="E18" t="inlineStr">
        <is>
          <t>допущение</t>
        </is>
      </c>
      <c r="F18" s="6" t="inlineStr">
        <is>
          <t>кафе ~60–70%, розница ~30% — подставь своё</t>
        </is>
      </c>
    </row>
    <row r="19">
      <c r="A19" s="6" t="inlineStr">
        <is>
          <t>partner_new_share</t>
        </is>
      </c>
      <c r="B19" t="inlineStr">
        <is>
          <t>Доля клубного оборота, которой без клуба не было бы</t>
        </is>
      </c>
      <c r="C19" t="inlineStr">
        <is>
          <t>%</t>
        </is>
      </c>
      <c r="D19" s="10" t="n">
        <v>0.3</v>
      </c>
      <c r="E19" t="inlineStr">
        <is>
          <t>допущение</t>
        </is>
      </c>
      <c r="F19" s="6" t="inlineStr">
        <is>
          <t>проверить на пилоте</t>
        </is>
      </c>
    </row>
    <row r="20">
      <c r="A20" s="6" t="inlineStr">
        <is>
          <t>partner_exit_days</t>
        </is>
      </c>
      <c r="B20" t="inlineStr">
        <is>
          <t>Уведомление о выходе партнёра</t>
        </is>
      </c>
      <c r="C20" t="inlineStr">
        <is>
          <t>дн</t>
        </is>
      </c>
      <c r="D20" s="8" t="n">
        <v>14</v>
      </c>
      <c r="E20" t="inlineStr">
        <is>
          <t>решение</t>
        </is>
      </c>
      <c r="F20" s="6" t="inlineStr">
        <is>
          <t>v1.1</t>
        </is>
      </c>
    </row>
    <row r="21">
      <c r="A21" s="4" t="n"/>
      <c r="B21" s="5" t="inlineStr">
        <is>
          <t>Налоги и приём платежей</t>
        </is>
      </c>
      <c r="C21" s="4" t="n"/>
      <c r="D21" s="4" t="n"/>
      <c r="E21" s="4" t="n"/>
      <c r="F21" s="4" t="n"/>
    </row>
    <row r="22">
      <c r="A22" s="6" t="inlineStr">
        <is>
          <t>npd_ind</t>
        </is>
      </c>
      <c r="B22" t="inlineStr">
        <is>
          <t>НПД с физлиц</t>
        </is>
      </c>
      <c r="C22" t="inlineStr">
        <is>
          <t>%</t>
        </is>
      </c>
      <c r="D22" s="10" t="n">
        <v>0.04</v>
      </c>
      <c r="E22" t="inlineStr">
        <is>
          <t>факт</t>
        </is>
      </c>
      <c r="F22" s="6" t="inlineStr">
        <is>
          <t>422-ФЗ; ставки 2026 не менялись (naloger.ru, kontur.ru)</t>
        </is>
      </c>
    </row>
    <row r="23">
      <c r="A23" s="6" t="inlineStr">
        <is>
          <t>npd_biz</t>
        </is>
      </c>
      <c r="B23" t="inlineStr">
        <is>
          <t>НПД с ИП и юрлиц</t>
        </is>
      </c>
      <c r="C23" t="inlineStr">
        <is>
          <t>%</t>
        </is>
      </c>
      <c r="D23" s="10" t="n">
        <v>0.06</v>
      </c>
      <c r="E23" t="inlineStr">
        <is>
          <t>факт</t>
        </is>
      </c>
      <c r="F23" s="6" t="inlineStr">
        <is>
          <t>422-ФЗ</t>
        </is>
      </c>
    </row>
    <row r="24">
      <c r="A24" s="6" t="inlineStr">
        <is>
          <t>npd_limit</t>
        </is>
      </c>
      <c r="B24" t="inlineStr">
        <is>
          <t>Лимит дохода НПД</t>
        </is>
      </c>
      <c r="C24" t="inlineStr">
        <is>
          <t>₽/год</t>
        </is>
      </c>
      <c r="D24" s="9" t="n">
        <v>2400000</v>
      </c>
      <c r="E24" t="inlineStr">
        <is>
          <t>факт</t>
        </is>
      </c>
      <c r="F24" s="6" t="inlineStr">
        <is>
          <t>422-ФЗ, п.8 ч.2 ст.4; режим до 31.12.2028</t>
        </is>
      </c>
    </row>
    <row r="25">
      <c r="A25" s="6" t="inlineStr">
        <is>
          <t>usn</t>
        </is>
      </c>
      <c r="B25" t="inlineStr">
        <is>
          <t>УСН «доходы»</t>
        </is>
      </c>
      <c r="C25" t="inlineStr">
        <is>
          <t>%</t>
        </is>
      </c>
      <c r="D25" s="10" t="n">
        <v>0.06</v>
      </c>
      <c r="E25" t="inlineStr">
        <is>
          <t>факт</t>
        </is>
      </c>
      <c r="F25" s="6" t="inlineStr">
        <is>
          <t>НК РФ ст.346.20</t>
        </is>
      </c>
    </row>
    <row r="26">
      <c r="A26" s="6" t="inlineStr">
        <is>
          <t>ip_fixed</t>
        </is>
      </c>
      <c r="B26" t="inlineStr">
        <is>
          <t>Фикс. взносы ИП за себя, 2026</t>
        </is>
      </c>
      <c r="C26" t="inlineStr">
        <is>
          <t>₽/год</t>
        </is>
      </c>
      <c r="D26" s="9" t="n">
        <v>57390</v>
      </c>
      <c r="E26" t="inlineStr">
        <is>
          <t>факт</t>
        </is>
      </c>
      <c r="F26" s="6" t="inlineStr">
        <is>
          <t>nalog.gov.ru, ст.430 НК</t>
        </is>
      </c>
    </row>
    <row r="27">
      <c r="A27" s="6" t="inlineStr">
        <is>
          <t>ip_extra</t>
        </is>
      </c>
      <c r="B27" t="inlineStr">
        <is>
          <t>Доп. взнос ИП с дохода сверх 300 000</t>
        </is>
      </c>
      <c r="C27" t="inlineStr">
        <is>
          <t>%</t>
        </is>
      </c>
      <c r="D27" s="10" t="n">
        <v>0.01</v>
      </c>
      <c r="E27" t="inlineStr">
        <is>
          <t>факт</t>
        </is>
      </c>
      <c r="F27" s="6" t="inlineStr">
        <is>
          <t>ст.430 НК</t>
        </is>
      </c>
    </row>
    <row r="28">
      <c r="A28" s="6" t="inlineStr">
        <is>
          <t>ip_extra_from</t>
        </is>
      </c>
      <c r="B28" t="inlineStr">
        <is>
          <t>Порог доп. взноса</t>
        </is>
      </c>
      <c r="C28" t="inlineStr">
        <is>
          <t>₽/год</t>
        </is>
      </c>
      <c r="D28" s="9" t="n">
        <v>300000</v>
      </c>
      <c r="E28" t="inlineStr">
        <is>
          <t>факт</t>
        </is>
      </c>
      <c r="F28" s="6" t="inlineStr">
        <is>
          <t>ст.430 НК</t>
        </is>
      </c>
    </row>
    <row r="29">
      <c r="A29" s="6" t="inlineStr">
        <is>
          <t>acq_sbp</t>
        </is>
      </c>
      <c r="B29" t="inlineStr">
        <is>
          <t>СБП (потолок ЦБ для бизнеса)</t>
        </is>
      </c>
      <c r="C29" t="inlineStr">
        <is>
          <t>%</t>
        </is>
      </c>
      <c r="D29" s="10" t="n">
        <v>0.007</v>
      </c>
      <c r="E29" t="inlineStr">
        <is>
          <t>факт</t>
        </is>
      </c>
      <c r="F29" s="6" t="inlineStr">
        <is>
          <t>ЦБ: не выше 0,7%; НДС на перевод не начисляется</t>
        </is>
      </c>
    </row>
    <row r="30">
      <c r="A30" s="6" t="inlineStr">
        <is>
          <t>acq_card</t>
        </is>
      </c>
      <c r="B30" t="inlineStr">
        <is>
          <t>Карты через ЮKassa (базовый тариф)</t>
        </is>
      </c>
      <c r="C30" t="inlineStr">
        <is>
          <t>%</t>
        </is>
      </c>
      <c r="D30" s="10" t="n">
        <v>0.035</v>
      </c>
      <c r="E30" t="inlineStr">
        <is>
          <t>факт</t>
        </is>
      </c>
      <c r="F30" s="6" t="inlineStr">
        <is>
          <t>yookassa.ru/docs/support/payments/fees</t>
        </is>
      </c>
    </row>
    <row r="31">
      <c r="A31" s="6" t="inlineStr">
        <is>
          <t>acq_vat</t>
        </is>
      </c>
      <c r="B31" t="inlineStr">
        <is>
          <t>НДС на комиссию за карты с 2026</t>
        </is>
      </c>
      <c r="C31" t="inlineStr">
        <is>
          <t>%</t>
        </is>
      </c>
      <c r="D31" s="10" t="n">
        <v>0.22</v>
      </c>
      <c r="E31" t="inlineStr">
        <is>
          <t>факт</t>
        </is>
      </c>
      <c r="F31" s="6" t="inlineStr">
        <is>
          <t>425-ФЗ; ЮKassa удерживает 22% от комиссии</t>
        </is>
      </c>
    </row>
    <row r="32">
      <c r="A32" s="6" t="inlineStr">
        <is>
          <t>sbp_share</t>
        </is>
      </c>
      <c r="B32" t="inlineStr">
        <is>
          <t>Доля оплат по СБП</t>
        </is>
      </c>
      <c r="C32" t="inlineStr">
        <is>
          <t>%</t>
        </is>
      </c>
      <c r="D32" s="10" t="n">
        <v>0.5</v>
      </c>
      <c r="E32" t="inlineStr">
        <is>
          <t>допущение</t>
        </is>
      </c>
      <c r="F32" s="6" t="inlineStr">
        <is>
          <t>проси платить по СБП — это дешевле в 6 раз</t>
        </is>
      </c>
    </row>
    <row r="33">
      <c r="A33" s="6" t="inlineStr">
        <is>
          <t>ad_levy</t>
        </is>
      </c>
      <c r="B33" t="inlineStr">
        <is>
          <t>Отчисление с интернет-рекламы</t>
        </is>
      </c>
      <c r="C33" t="inlineStr">
        <is>
          <t>%</t>
        </is>
      </c>
      <c r="D33" s="10" t="n">
        <v>0.03</v>
      </c>
      <c r="E33" t="inlineStr">
        <is>
          <t>факт</t>
        </is>
      </c>
      <c r="F33" s="6" t="inlineStr">
        <is>
          <t>ст.18.2 «О рекламе», с 01.04.2025</t>
        </is>
      </c>
    </row>
    <row r="34">
      <c r="A34" s="4" t="n"/>
      <c r="B34" s="5" t="inlineStr">
        <is>
          <t>Мерч (себестоимость — оценка, уточнить у подрядчика)</t>
        </is>
      </c>
      <c r="C34" s="4" t="n"/>
      <c r="D34" s="4" t="n"/>
      <c r="E34" s="4" t="n"/>
      <c r="F34" s="4" t="n"/>
    </row>
    <row r="35">
      <c r="A35" s="6" t="inlineStr">
        <is>
          <t>passport_price</t>
        </is>
      </c>
      <c r="B35" t="inlineStr">
        <is>
          <t>Физический паспорт, цена</t>
        </is>
      </c>
      <c r="C35" t="inlineStr">
        <is>
          <t>₽</t>
        </is>
      </c>
      <c r="D35" s="7" t="n">
        <v>1500</v>
      </c>
      <c r="E35" t="inlineStr">
        <is>
          <t>решение</t>
        </is>
      </c>
      <c r="F35" s="6" t="inlineStr">
        <is>
          <t>прайс v1.0-документа</t>
        </is>
      </c>
    </row>
    <row r="36">
      <c r="A36" s="6" t="inlineStr">
        <is>
          <t>passport_cost</t>
        </is>
      </c>
      <c r="B36" t="inlineStr">
        <is>
          <t>Физический паспорт, себестоимость</t>
        </is>
      </c>
      <c r="C36" t="inlineStr">
        <is>
          <t>₽</t>
        </is>
      </c>
      <c r="D36" s="7" t="n">
        <v>400</v>
      </c>
      <c r="E36" t="inlineStr">
        <is>
          <t>допущение</t>
        </is>
      </c>
      <c r="F36" s="6" t="inlineStr">
        <is>
          <t>оценка, запросить у типографии</t>
        </is>
      </c>
    </row>
    <row r="37">
      <c r="A37" s="6" t="inlineStr">
        <is>
          <t>keychain_price</t>
        </is>
      </c>
      <c r="B37" t="inlineStr">
        <is>
          <t>Брелок «6 ключей», цена</t>
        </is>
      </c>
      <c r="C37" t="inlineStr">
        <is>
          <t>₽</t>
        </is>
      </c>
      <c r="D37" s="7" t="n">
        <v>1200</v>
      </c>
      <c r="E37" t="inlineStr">
        <is>
          <t>решение</t>
        </is>
      </c>
      <c r="F37" s="6" t="inlineStr"/>
    </row>
    <row r="38">
      <c r="A38" s="6" t="inlineStr">
        <is>
          <t>keychain_cost</t>
        </is>
      </c>
      <c r="B38" t="inlineStr">
        <is>
          <t>Брелок, себестоимость</t>
        </is>
      </c>
      <c r="C38" t="inlineStr">
        <is>
          <t>₽</t>
        </is>
      </c>
      <c r="D38" s="7" t="n">
        <v>425</v>
      </c>
      <c r="E38" t="inlineStr">
        <is>
          <t>допущение</t>
        </is>
      </c>
      <c r="F38" s="6" t="inlineStr">
        <is>
          <t>середина 350–500</t>
        </is>
      </c>
    </row>
    <row r="39">
      <c r="A39" s="6" t="inlineStr">
        <is>
          <t>hoodie_price</t>
        </is>
      </c>
      <c r="B39" t="inlineStr">
        <is>
          <t>Худи, цена</t>
        </is>
      </c>
      <c r="C39" t="inlineStr">
        <is>
          <t>₽</t>
        </is>
      </c>
      <c r="D39" s="7" t="n">
        <v>4900</v>
      </c>
      <c r="E39" t="inlineStr">
        <is>
          <t>решение</t>
        </is>
      </c>
      <c r="F39" s="6" t="inlineStr"/>
    </row>
    <row r="40">
      <c r="A40" s="6" t="inlineStr">
        <is>
          <t>hoodie_cost</t>
        </is>
      </c>
      <c r="B40" t="inlineStr">
        <is>
          <t>Худи, себестоимость</t>
        </is>
      </c>
      <c r="C40" t="inlineStr">
        <is>
          <t>₽</t>
        </is>
      </c>
      <c r="D40" s="7" t="n">
        <v>2250</v>
      </c>
      <c r="E40" t="inlineStr">
        <is>
          <t>допущение</t>
        </is>
      </c>
      <c r="F40" s="6" t="inlineStr">
        <is>
          <t>середина 2 000–2 500</t>
        </is>
      </c>
    </row>
    <row r="41">
      <c r="A41" s="4" t="n"/>
      <c r="B41" s="5" t="inlineStr">
        <is>
          <t>Реклама Sevastopol AI</t>
        </is>
      </c>
      <c r="C41" s="4" t="n"/>
      <c r="D41" s="4" t="n"/>
      <c r="E41" s="4" t="n"/>
      <c r="F41" s="4" t="n"/>
    </row>
    <row r="42">
      <c r="A42" s="6" t="inlineStr">
        <is>
          <t>ad_views_post</t>
        </is>
      </c>
      <c r="B42" t="inlineStr">
        <is>
          <t>Средний охват поста в канале</t>
        </is>
      </c>
      <c r="C42" t="inlineStr">
        <is>
          <t>просм.</t>
        </is>
      </c>
      <c r="D42" s="8" t="n">
        <v>800</v>
      </c>
      <c r="E42" t="inlineStr">
        <is>
          <t>допущение</t>
        </is>
      </c>
      <c r="F42" s="6" t="inlineStr">
        <is>
          <t>подставь факт из статистики канала за 30 дней</t>
        </is>
      </c>
    </row>
    <row r="43">
      <c r="A43" s="6" t="inlineStr">
        <is>
          <t>ad_views_card</t>
        </is>
      </c>
      <c r="B43" t="inlineStr">
        <is>
          <t>Показов карточки «Рекомендуем» за 7 дней</t>
        </is>
      </c>
      <c r="C43" t="inlineStr">
        <is>
          <t>показ</t>
        </is>
      </c>
      <c r="D43" s="8" t="n">
        <v>300</v>
      </c>
      <c r="E43" t="inlineStr">
        <is>
          <t>допущение</t>
        </is>
      </c>
      <c r="F43" s="6" t="inlineStr">
        <is>
          <t>смотри /admin: открытия категории за неделю</t>
        </is>
      </c>
    </row>
    <row r="44">
      <c r="A44" s="6" t="inlineStr">
        <is>
          <t>ad_cpm</t>
        </is>
      </c>
      <c r="B44" t="inlineStr">
        <is>
          <t>Цена 1 000 просмотров (городская аудитория)</t>
        </is>
      </c>
      <c r="C44" t="inlineStr">
        <is>
          <t>₽</t>
        </is>
      </c>
      <c r="D44" s="7" t="n">
        <v>1500</v>
      </c>
      <c r="E44" t="inlineStr">
        <is>
          <t>допущение</t>
        </is>
      </c>
      <c r="F44" s="6" t="inlineStr">
        <is>
          <t>ориентир для локальных каналов; пересматривать раз в квартал</t>
        </is>
      </c>
    </row>
    <row r="45">
      <c r="A45" s="6" t="inlineStr">
        <is>
          <t>ad_min_post</t>
        </is>
      </c>
      <c r="B45" t="inlineStr">
        <is>
          <t>Минимум за пост</t>
        </is>
      </c>
      <c r="C45" t="inlineStr">
        <is>
          <t>₽</t>
        </is>
      </c>
      <c r="D45" s="7" t="n">
        <v>1000</v>
      </c>
      <c r="E45" t="inlineStr">
        <is>
          <t>решение</t>
        </is>
      </c>
      <c r="F45" s="6" t="inlineStr">
        <is>
          <t>v1.1: работа с текстом и маркировкой</t>
        </is>
      </c>
    </row>
    <row r="46">
      <c r="A46" s="6" t="inlineStr">
        <is>
          <t>ad_min_card</t>
        </is>
      </c>
      <c r="B46" t="inlineStr">
        <is>
          <t>Минимум за «Рекомендуем» 7 дней</t>
        </is>
      </c>
      <c r="C46" t="inlineStr">
        <is>
          <t>₽</t>
        </is>
      </c>
      <c r="D46" s="7" t="n">
        <v>1000</v>
      </c>
      <c r="E46" t="inlineStr">
        <is>
          <t>решение</t>
        </is>
      </c>
      <c r="F46" s="6" t="inlineStr">
        <is>
          <t>v1.1</t>
        </is>
      </c>
    </row>
    <row r="47">
      <c r="A47" s="6" t="inlineStr">
        <is>
          <t>ad_guide_place</t>
        </is>
      </c>
      <c r="B47" t="inlineStr">
        <is>
          <t>Подборка: за одно место</t>
        </is>
      </c>
      <c r="C47" t="inlineStr">
        <is>
          <t>₽</t>
        </is>
      </c>
      <c r="D47" s="7" t="n">
        <v>1000</v>
      </c>
      <c r="E47" t="inlineStr">
        <is>
          <t>решение</t>
        </is>
      </c>
      <c r="F47" s="6" t="inlineStr">
        <is>
          <t>v1.1</t>
        </is>
      </c>
    </row>
    <row r="48">
      <c r="A48" s="6" t="inlineStr">
        <is>
          <t>ad_guide_min</t>
        </is>
      </c>
      <c r="B48" t="inlineStr">
        <is>
          <t>Подборка: минимум мест</t>
        </is>
      </c>
      <c r="C48" t="inlineStr">
        <is>
          <t>шт</t>
        </is>
      </c>
      <c r="D48" s="8" t="n">
        <v>3</v>
      </c>
      <c r="E48" t="inlineStr">
        <is>
          <t>решение</t>
        </is>
      </c>
      <c r="F48" s="6" t="inlineStr">
        <is>
          <t>v1.1</t>
        </is>
      </c>
    </row>
    <row r="49">
      <c r="A49" s="6" t="inlineStr">
        <is>
          <t>ad_route</t>
        </is>
      </c>
      <c r="B49" t="inlineStr">
        <is>
          <t>Включение в маршрут (если реально по пути)</t>
        </is>
      </c>
      <c r="C49" t="inlineStr">
        <is>
          <t>₽</t>
        </is>
      </c>
      <c r="D49" s="7" t="n">
        <v>2000</v>
      </c>
      <c r="E49" t="inlineStr">
        <is>
          <t>решение</t>
        </is>
      </c>
      <c r="F49" s="6" t="inlineStr">
        <is>
          <t>v1.1</t>
        </is>
      </c>
    </row>
    <row r="50">
      <c r="A50" s="6" t="inlineStr">
        <is>
          <t>ad_event</t>
        </is>
      </c>
      <c r="B50" t="inlineStr">
        <is>
          <t>Анонс события</t>
        </is>
      </c>
      <c r="C50" t="inlineStr">
        <is>
          <t>₽</t>
        </is>
      </c>
      <c r="D50" s="7" t="n">
        <v>1000</v>
      </c>
      <c r="E50" t="inlineStr">
        <is>
          <t>решение</t>
        </is>
      </c>
      <c r="F50" s="6" t="inlineStr">
        <is>
          <t>партнёру 1 в месяц бесплатно</t>
        </is>
      </c>
    </row>
    <row r="51">
      <c r="A51" s="6" t="inlineStr">
        <is>
          <t>ad_partner_disc</t>
        </is>
      </c>
      <c r="B51" t="inlineStr">
        <is>
          <t>Скидка партнёру City Code на рекламу</t>
        </is>
      </c>
      <c r="C51" t="inlineStr">
        <is>
          <t>%</t>
        </is>
      </c>
      <c r="D51" s="10" t="n">
        <v>0.5</v>
      </c>
      <c r="E51" t="inlineStr">
        <is>
          <t>решение</t>
        </is>
      </c>
      <c r="F51" s="6" t="inlineStr">
        <is>
          <t>v1.1</t>
        </is>
      </c>
    </row>
    <row r="52">
      <c r="A52" s="6" t="inlineStr">
        <is>
          <t>shoot_price</t>
        </is>
      </c>
      <c r="B52" t="inlineStr">
        <is>
          <t>Съёмка заведения</t>
        </is>
      </c>
      <c r="C52" t="inlineStr">
        <is>
          <t>₽</t>
        </is>
      </c>
      <c r="D52" s="7" t="n">
        <v>12000</v>
      </c>
      <c r="E52" t="inlineStr">
        <is>
          <t>решение</t>
        </is>
      </c>
      <c r="F52" s="6" t="inlineStr">
        <is>
          <t>себестоимость 40% — поэтому партнёру не −50%</t>
        </is>
      </c>
    </row>
    <row r="53">
      <c r="A53" s="6" t="inlineStr">
        <is>
          <t>shoot_partner</t>
        </is>
      </c>
      <c r="B53" t="inlineStr">
        <is>
          <t>Съёмка для партнёра</t>
        </is>
      </c>
      <c r="C53" t="inlineStr">
        <is>
          <t>₽</t>
        </is>
      </c>
      <c r="D53" s="7" t="n">
        <v>8000</v>
      </c>
      <c r="E53" t="inlineStr">
        <is>
          <t>решение</t>
        </is>
      </c>
      <c r="F53" s="6" t="inlineStr"/>
    </row>
    <row r="54">
      <c r="A54" s="6" t="inlineStr">
        <is>
          <t>shoot_cost</t>
        </is>
      </c>
      <c r="B54" t="inlineStr">
        <is>
          <t>Себестоимость съёмки (доля оператора/оборудования)</t>
        </is>
      </c>
      <c r="C54" t="inlineStr">
        <is>
          <t>%</t>
        </is>
      </c>
      <c r="D54" s="10" t="n">
        <v>0.4</v>
      </c>
      <c r="E54" t="inlineStr">
        <is>
          <t>решение</t>
        </is>
      </c>
      <c r="F54" s="6" t="inlineStr">
        <is>
          <t>договор с партнёром по оборудованию</t>
        </is>
      </c>
    </row>
    <row r="55">
      <c r="A55" s="4" t="n"/>
      <c r="B55" s="5" t="inlineStr">
        <is>
          <t>XP и награды (значения живут в коде бота, здесь — для расчётов)</t>
        </is>
      </c>
      <c r="C55" s="4" t="n"/>
      <c r="D55" s="4" t="n"/>
      <c r="E55" s="4" t="n"/>
      <c r="F55" s="4" t="n"/>
    </row>
    <row r="56">
      <c r="A56" s="6" t="inlineStr">
        <is>
          <t>xp_grant</t>
        </is>
      </c>
      <c r="B56" t="inlineStr">
        <is>
          <t>XP для ранга City Code</t>
        </is>
      </c>
      <c r="C56" t="inlineStr">
        <is>
          <t>XP</t>
        </is>
      </c>
      <c r="D56" s="8" t="n">
        <v>7000</v>
      </c>
      <c r="E56" t="inlineStr">
        <is>
          <t>решение</t>
        </is>
      </c>
      <c r="F56" s="6" t="inlineStr">
        <is>
          <t>бот: CITYCODE_GRANT_XP</t>
        </is>
      </c>
    </row>
    <row r="57">
      <c r="A57" s="6" t="inlineStr">
        <is>
          <t>grant_days</t>
        </is>
      </c>
      <c r="B57" t="inlineStr">
        <is>
          <t>Грант за ранг City Code</t>
        </is>
      </c>
      <c r="C57" t="inlineStr">
        <is>
          <t>дн</t>
        </is>
      </c>
      <c r="D57" s="8" t="n">
        <v>365</v>
      </c>
      <c r="E57" t="inlineStr">
        <is>
          <t>решение</t>
        </is>
      </c>
      <c r="F57" s="6" t="inlineStr">
        <is>
          <t>v1.1 (было 180) — бот: CITYCODE_GRANT_DAYS</t>
        </is>
      </c>
    </row>
    <row r="58">
      <c r="A58" s="6" t="inlineStr">
        <is>
          <t>grant_quota</t>
        </is>
      </c>
      <c r="B58" t="inlineStr">
        <is>
          <t>Квота грантов от мест транша</t>
        </is>
      </c>
      <c r="C58" t="inlineStr">
        <is>
          <t>%</t>
        </is>
      </c>
      <c r="D58" s="10" t="n">
        <v>0.1</v>
      </c>
      <c r="E58" t="inlineStr">
        <is>
          <t>решение</t>
        </is>
      </c>
      <c r="F58" s="6" t="inlineStr">
        <is>
          <t>бот: CITYCODE_GRANT_QUOTA = 30</t>
        </is>
      </c>
    </row>
    <row r="59">
      <c r="A59" s="6" t="inlineStr">
        <is>
          <t>ref_days</t>
        </is>
      </c>
      <c r="B59" t="inlineStr">
        <is>
          <t>Участнику за оплатившего приглашённого</t>
        </is>
      </c>
      <c r="C59" t="inlineStr">
        <is>
          <t>дн</t>
        </is>
      </c>
      <c r="D59" s="8" t="n">
        <v>30</v>
      </c>
      <c r="E59" t="inlineStr">
        <is>
          <t>решение</t>
        </is>
      </c>
      <c r="F59" s="6" t="inlineStr">
        <is>
          <t>бот: MEMBER_REFERRAL_PAID_DAYS</t>
        </is>
      </c>
    </row>
    <row r="60">
      <c r="A60" s="6" t="inlineStr">
        <is>
          <t>ref_max</t>
        </is>
      </c>
      <c r="B60" t="inlineStr">
        <is>
          <t>Оплативших приглашённых в год с бонусом</t>
        </is>
      </c>
      <c r="C60" t="inlineStr">
        <is>
          <t>шт</t>
        </is>
      </c>
      <c r="D60" s="8" t="n">
        <v>6</v>
      </c>
      <c r="E60" t="inlineStr">
        <is>
          <t>решение</t>
        </is>
      </c>
      <c r="F60" s="6" t="inlineStr">
        <is>
          <t>бот: MEMBER_REFERRAL_PAID_MAX_PER_YEAR</t>
        </is>
      </c>
    </row>
    <row r="61">
      <c r="A61" s="6" t="inlineStr">
        <is>
          <t>xp_daily_cap</t>
        </is>
      </c>
      <c r="B61" t="inlineStr">
        <is>
          <t>Потолок XP за кнопки в день</t>
        </is>
      </c>
      <c r="C61" t="inlineStr">
        <is>
          <t>XP</t>
        </is>
      </c>
      <c r="D61" s="8" t="n">
        <v>10</v>
      </c>
      <c r="E61" t="inlineStr">
        <is>
          <t>решение</t>
        </is>
      </c>
      <c r="F61" s="6" t="inlineStr">
        <is>
          <t>бот: DAILY_ACTIVITY_CAP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6" customWidth="1" min="3" max="3"/>
    <col width="18" customWidth="1" min="4" max="4"/>
    <col width="44" customWidth="1" min="5" max="5"/>
    <col width="70" customWidth="1" min="6" max="6"/>
  </cols>
  <sheetData>
    <row r="1">
      <c r="A1" s="3" t="inlineStr">
        <is>
          <t>Ключ</t>
        </is>
      </c>
      <c r="B1" s="3" t="inlineStr">
        <is>
          <t>Показатель</t>
        </is>
      </c>
      <c r="C1" s="3" t="inlineStr">
        <is>
          <t>Ед.</t>
        </is>
      </c>
      <c r="D1" s="3" t="inlineStr">
        <is>
          <t>Значение</t>
        </is>
      </c>
      <c r="E1" s="3" t="inlineStr">
        <is>
          <t>Как считается</t>
        </is>
      </c>
      <c r="F1" s="3" t="inlineStr">
        <is>
          <t>Формула</t>
        </is>
      </c>
    </row>
    <row r="2">
      <c r="A2" s="4" t="n"/>
      <c r="B2" s="5" t="inlineStr">
        <is>
          <t>Членство: цена в день, комиссия, налог, сколько остаётся</t>
        </is>
      </c>
      <c r="C2" s="4" t="n"/>
      <c r="D2" s="4" t="n"/>
      <c r="E2" s="4" t="n"/>
      <c r="F2" s="4" t="n"/>
    </row>
    <row r="3">
      <c r="A3" s="6" t="inlineStr">
        <is>
          <t>basic_month</t>
        </is>
      </c>
      <c r="B3" t="inlineStr">
        <is>
          <t>Basic в месяц</t>
        </is>
      </c>
      <c r="C3" t="inlineStr">
        <is>
          <t>₽</t>
        </is>
      </c>
      <c r="D3" s="11">
        <f>ROUND('Параметры'!$D$3/12,2)</f>
        <v/>
      </c>
      <c r="E3" s="6" t="inlineStr">
        <is>
          <t>цена ÷ 12</t>
        </is>
      </c>
      <c r="F3" s="6" t="inlineStr">
        <is>
          <t>ROUND({price_basic}/12,2)</t>
        </is>
      </c>
    </row>
    <row r="4">
      <c r="A4" s="6" t="inlineStr">
        <is>
          <t>basic_day</t>
        </is>
      </c>
      <c r="B4" t="inlineStr">
        <is>
          <t>Basic в день</t>
        </is>
      </c>
      <c r="C4" t="inlineStr">
        <is>
          <t>₽</t>
        </is>
      </c>
      <c r="D4" s="11">
        <f>ROUND('Параметры'!$D$3/'Параметры'!$D$7,2)</f>
        <v/>
      </c>
      <c r="E4" s="6" t="inlineStr">
        <is>
          <t>цена ÷ 365</t>
        </is>
      </c>
      <c r="F4" s="6" t="inlineStr">
        <is>
          <t>ROUND({price_basic}/{days_year},2)</t>
        </is>
      </c>
    </row>
    <row r="5">
      <c r="A5" s="6" t="inlineStr">
        <is>
          <t>founder_month</t>
        </is>
      </c>
      <c r="B5" t="inlineStr">
        <is>
          <t>«Основатели» в месяц</t>
        </is>
      </c>
      <c r="C5" t="inlineStr">
        <is>
          <t>₽</t>
        </is>
      </c>
      <c r="D5" s="11">
        <f>ROUND('Параметры'!$D$4/12,2)</f>
        <v/>
      </c>
      <c r="E5" s="6" t="inlineStr">
        <is>
          <t>цена ÷ 12</t>
        </is>
      </c>
      <c r="F5" s="6" t="inlineStr">
        <is>
          <t>ROUND({price_founder}/12,2)</t>
        </is>
      </c>
    </row>
    <row r="6">
      <c r="A6" s="6" t="inlineStr">
        <is>
          <t>founder_day</t>
        </is>
      </c>
      <c r="B6" t="inlineStr">
        <is>
          <t>«Основатели» в день</t>
        </is>
      </c>
      <c r="C6" t="inlineStr">
        <is>
          <t>₽</t>
        </is>
      </c>
      <c r="D6" s="11">
        <f>ROUND('Параметры'!$D$4/'Параметры'!$D$7,2)</f>
        <v/>
      </c>
      <c r="E6" s="6" t="inlineStr">
        <is>
          <t>цена ÷ 365</t>
        </is>
      </c>
      <c r="F6" s="6" t="inlineStr">
        <is>
          <t>ROUND({price_founder}/{days_year},2)</t>
        </is>
      </c>
    </row>
    <row r="7">
      <c r="A7" s="6" t="inlineStr">
        <is>
          <t>acq_card_eff</t>
        </is>
      </c>
      <c r="B7" t="inlineStr">
        <is>
          <t>Карты: комиссия с НДС</t>
        </is>
      </c>
      <c r="C7" t="inlineStr">
        <is>
          <t>%</t>
        </is>
      </c>
      <c r="D7" s="12">
        <f>'Параметры'!$D$30*(1+'Параметры'!$D$31)</f>
        <v/>
      </c>
      <c r="E7" s="6" t="inlineStr">
        <is>
          <t>3,5% × 1,22</t>
        </is>
      </c>
      <c r="F7" s="6" t="inlineStr">
        <is>
          <t>{acq_card}*(1+{acq_vat})</t>
        </is>
      </c>
    </row>
    <row r="8">
      <c r="A8" s="6" t="inlineStr">
        <is>
          <t>acq_blend</t>
        </is>
      </c>
      <c r="B8" t="inlineStr">
        <is>
          <t>Комиссия в среднем (доля СБП из параметров)</t>
        </is>
      </c>
      <c r="C8" t="inlineStr">
        <is>
          <t>%</t>
        </is>
      </c>
      <c r="D8" s="12">
        <f>'Параметры'!$D$32*'Параметры'!$D$29+(1-'Параметры'!$D$32)*$D$7</f>
        <v/>
      </c>
      <c r="E8" s="6" t="inlineStr">
        <is>
          <t>смесь СБП и карт</t>
        </is>
      </c>
      <c r="F8" s="6" t="inlineStr">
        <is>
          <t>{sbp_share}*{acq_sbp}+(1-{sbp_share})*{acq_card_eff}</t>
        </is>
      </c>
    </row>
    <row r="9">
      <c r="A9" s="6" t="inlineStr">
        <is>
          <t>basic_fee_sbp</t>
        </is>
      </c>
      <c r="B9" t="inlineStr">
        <is>
          <t>Basic: комиссия СБП</t>
        </is>
      </c>
      <c r="C9" t="inlineStr">
        <is>
          <t>₽</t>
        </is>
      </c>
      <c r="D9" s="11">
        <f>ROUND('Параметры'!$D$3*'Параметры'!$D$29,2)</f>
        <v/>
      </c>
      <c r="E9" s="6" t="inlineStr">
        <is>
          <t>5 108 × 0,7%</t>
        </is>
      </c>
      <c r="F9" s="6" t="inlineStr">
        <is>
          <t>ROUND({price_basic}*{acq_sbp},2)</t>
        </is>
      </c>
    </row>
    <row r="10">
      <c r="A10" s="6" t="inlineStr">
        <is>
          <t>basic_fee_card</t>
        </is>
      </c>
      <c r="B10" t="inlineStr">
        <is>
          <t>Basic: комиссия карты</t>
        </is>
      </c>
      <c r="C10" t="inlineStr">
        <is>
          <t>₽</t>
        </is>
      </c>
      <c r="D10" s="11">
        <f>ROUND('Параметры'!$D$3*$D$7,2)</f>
        <v/>
      </c>
      <c r="E10" s="6" t="inlineStr">
        <is>
          <t>5 108 × 4,27%</t>
        </is>
      </c>
      <c r="F10" s="6" t="inlineStr">
        <is>
          <t>ROUND({price_basic}*{acq_card_eff},2)</t>
        </is>
      </c>
    </row>
    <row r="11">
      <c r="A11" s="6" t="inlineStr">
        <is>
          <t>basic_tax_npd</t>
        </is>
      </c>
      <c r="B11" t="inlineStr">
        <is>
          <t>Basic: налог НПД 4%</t>
        </is>
      </c>
      <c r="C11" t="inlineStr">
        <is>
          <t>₽</t>
        </is>
      </c>
      <c r="D11" s="11">
        <f>ROUND('Параметры'!$D$3*'Параметры'!$D$22,2)</f>
        <v/>
      </c>
      <c r="E11" s="6" t="inlineStr">
        <is>
          <t>с полной суммы</t>
        </is>
      </c>
      <c r="F11" s="6" t="inlineStr">
        <is>
          <t>ROUND({price_basic}*{npd_ind},2)</t>
        </is>
      </c>
    </row>
    <row r="12">
      <c r="A12" s="6" t="inlineStr">
        <is>
          <t>basic_tax_usn</t>
        </is>
      </c>
      <c r="B12" t="inlineStr">
        <is>
          <t>Basic: налог УСН 6% (если ИП)</t>
        </is>
      </c>
      <c r="C12" t="inlineStr">
        <is>
          <t>₽</t>
        </is>
      </c>
      <c r="D12" s="11">
        <f>ROUND('Параметры'!$D$3*'Параметры'!$D$25,2)</f>
        <v/>
      </c>
      <c r="E12" s="6" t="inlineStr">
        <is>
          <t>до вычета взносов</t>
        </is>
      </c>
      <c r="F12" s="6" t="inlineStr">
        <is>
          <t>ROUND({price_basic}*{usn},2)</t>
        </is>
      </c>
    </row>
    <row r="13">
      <c r="A13" s="6" t="inlineStr">
        <is>
          <t>basic_net_npd_sbp</t>
        </is>
      </c>
      <c r="B13" t="inlineStr">
        <is>
          <t>Basic: остаётся (НПД + СБП)</t>
        </is>
      </c>
      <c r="C13" t="inlineStr">
        <is>
          <t>₽</t>
        </is>
      </c>
      <c r="D13" s="11">
        <f>'Параметры'!$D$3-$D$9-$D$11</f>
        <v/>
      </c>
      <c r="E13" s="6" t="inlineStr">
        <is>
          <t>основной вариант</t>
        </is>
      </c>
      <c r="F13" s="6" t="inlineStr">
        <is>
          <t>{price_basic}-{basic_fee_sbp}-{basic_tax_npd}</t>
        </is>
      </c>
    </row>
    <row r="14">
      <c r="A14" s="6" t="inlineStr">
        <is>
          <t>basic_net_npd_card</t>
        </is>
      </c>
      <c r="B14" t="inlineStr">
        <is>
          <t>Basic: остаётся (НПД + карта)</t>
        </is>
      </c>
      <c r="C14" t="inlineStr">
        <is>
          <t>₽</t>
        </is>
      </c>
      <c r="D14" s="11">
        <f>'Параметры'!$D$3-$D$10-$D$11</f>
        <v/>
      </c>
      <c r="E14" s="6" t="inlineStr">
        <is>
          <t>если платят картой</t>
        </is>
      </c>
      <c r="F14" s="6" t="inlineStr">
        <is>
          <t>{price_basic}-{basic_fee_card}-{basic_tax_npd}</t>
        </is>
      </c>
    </row>
    <row r="15">
      <c r="A15" s="6" t="inlineStr">
        <is>
          <t>basic_net_usn_sbp</t>
        </is>
      </c>
      <c r="B15" t="inlineStr">
        <is>
          <t>Basic: остаётся (ИП УСН + СБП)</t>
        </is>
      </c>
      <c r="C15" t="inlineStr">
        <is>
          <t>₽</t>
        </is>
      </c>
      <c r="D15" s="11">
        <f>'Параметры'!$D$3-$D$9-$D$12</f>
        <v/>
      </c>
      <c r="E15" s="6" t="inlineStr">
        <is>
          <t>после перехода на ИП</t>
        </is>
      </c>
      <c r="F15" s="6" t="inlineStr">
        <is>
          <t>{price_basic}-{basic_fee_sbp}-{basic_tax_usn}</t>
        </is>
      </c>
    </row>
    <row r="16">
      <c r="A16" s="6" t="inlineStr">
        <is>
          <t>founder_kit_cost</t>
        </is>
      </c>
      <c r="B16" t="inlineStr">
        <is>
          <t>«Основатели»: себестоимость набора (паспорт + брелок)</t>
        </is>
      </c>
      <c r="C16" t="inlineStr">
        <is>
          <t>₽</t>
        </is>
      </c>
      <c r="D16" s="11">
        <f>'Параметры'!$D$36+'Параметры'!$D$38</f>
        <v/>
      </c>
      <c r="E16" s="6" t="inlineStr">
        <is>
          <t>выдаём физически</t>
        </is>
      </c>
      <c r="F16" s="6" t="inlineStr">
        <is>
          <t>{passport_cost}+{keychain_cost}</t>
        </is>
      </c>
    </row>
    <row r="17">
      <c r="A17" s="6" t="inlineStr">
        <is>
          <t>founder_kit_retail</t>
        </is>
      </c>
      <c r="B17" t="inlineStr">
        <is>
          <t>«Основатели»: набор по рознице</t>
        </is>
      </c>
      <c r="C17" t="inlineStr">
        <is>
          <t>₽</t>
        </is>
      </c>
      <c r="D17" s="11">
        <f>'Параметры'!$D$35+'Параметры'!$D$37</f>
        <v/>
      </c>
      <c r="E17" s="6" t="inlineStr">
        <is>
          <t>что человек получает в рублях</t>
        </is>
      </c>
      <c r="F17" s="6" t="inlineStr">
        <is>
          <t>{passport_price}+{keychain_price}</t>
        </is>
      </c>
    </row>
    <row r="18">
      <c r="A18" s="6" t="inlineStr">
        <is>
          <t>founder_fee_sbp</t>
        </is>
      </c>
      <c r="B18" t="inlineStr">
        <is>
          <t>«Основатели»: комиссия СБП</t>
        </is>
      </c>
      <c r="C18" t="inlineStr">
        <is>
          <t>₽</t>
        </is>
      </c>
      <c r="D18" s="11">
        <f>ROUND('Параметры'!$D$4*'Параметры'!$D$29,2)</f>
        <v/>
      </c>
      <c r="E18" s="6" t="inlineStr"/>
      <c r="F18" s="6" t="inlineStr">
        <is>
          <t>ROUND({price_founder}*{acq_sbp},2)</t>
        </is>
      </c>
    </row>
    <row r="19">
      <c r="A19" s="6" t="inlineStr">
        <is>
          <t>founder_tax_npd</t>
        </is>
      </c>
      <c r="B19" t="inlineStr">
        <is>
          <t>«Основатели»: налог НПД 4%</t>
        </is>
      </c>
      <c r="C19" t="inlineStr">
        <is>
          <t>₽</t>
        </is>
      </c>
      <c r="D19" s="11">
        <f>ROUND('Параметры'!$D$4*'Параметры'!$D$22,2)</f>
        <v/>
      </c>
      <c r="E19" s="6" t="inlineStr"/>
      <c r="F19" s="6" t="inlineStr">
        <is>
          <t>ROUND({price_founder}*{npd_ind},2)</t>
        </is>
      </c>
    </row>
    <row r="20">
      <c r="A20" s="6" t="inlineStr">
        <is>
          <t>founder_net_npd_sbp</t>
        </is>
      </c>
      <c r="B20" t="inlineStr">
        <is>
          <t>«Основатели»: остаётся (НПД + СБП − набор)</t>
        </is>
      </c>
      <c r="C20" t="inlineStr">
        <is>
          <t>₽</t>
        </is>
      </c>
      <c r="D20" s="11">
        <f>'Параметры'!$D$4-$D$18-$D$19-$D$16</f>
        <v/>
      </c>
      <c r="E20" s="6" t="inlineStr"/>
      <c r="F20" s="6" t="inlineStr">
        <is>
          <t>{price_founder}-{founder_fee_sbp}-{founder_tax_npd}-{founder_kit_cost}</t>
        </is>
      </c>
    </row>
    <row r="21">
      <c r="A21" s="6" t="inlineStr">
        <is>
          <t>founder_extra</t>
        </is>
      </c>
      <c r="B21" t="inlineStr">
        <is>
          <t>«Основатели» дороже Basic на</t>
        </is>
      </c>
      <c r="C21" t="inlineStr">
        <is>
          <t>₽</t>
        </is>
      </c>
      <c r="D21" s="11">
        <f>'Параметры'!$D$4-'Параметры'!$D$3</f>
        <v/>
      </c>
      <c r="E21" s="6" t="inlineStr"/>
      <c r="F21" s="6" t="inlineStr">
        <is>
          <t>{price_founder}-{price_basic}</t>
        </is>
      </c>
    </row>
    <row r="22">
      <c r="A22" s="6" t="inlineStr">
        <is>
          <t>tranche_seats</t>
        </is>
      </c>
      <c r="B22" t="inlineStr">
        <is>
          <t>Мест в транше</t>
        </is>
      </c>
      <c r="C22" t="inlineStr">
        <is>
          <t>шт</t>
        </is>
      </c>
      <c r="D22" s="13">
        <f>'Параметры'!$D$5+'Параметры'!$D$6</f>
        <v/>
      </c>
      <c r="E22" s="6" t="inlineStr">
        <is>
          <t>250 + 50</t>
        </is>
      </c>
      <c r="F22" s="6" t="inlineStr">
        <is>
          <t>{seats_basic}+{seats_founder}</t>
        </is>
      </c>
    </row>
    <row r="23">
      <c r="A23" s="6" t="inlineStr">
        <is>
          <t>tranche_gross</t>
        </is>
      </c>
      <c r="B23" t="inlineStr">
        <is>
          <t>Транш: выручка</t>
        </is>
      </c>
      <c r="C23" t="inlineStr">
        <is>
          <t>₽</t>
        </is>
      </c>
      <c r="D23" s="11">
        <f>'Параметры'!$D$5*'Параметры'!$D$3+'Параметры'!$D$6*'Параметры'!$D$4</f>
        <v/>
      </c>
      <c r="E23" s="6" t="inlineStr">
        <is>
          <t>250 × 5 108 + 50 × 15 108</t>
        </is>
      </c>
      <c r="F23" s="6" t="inlineStr">
        <is>
          <t>{seats_basic}*{price_basic}+{seats_founder}*{price_founder}</t>
        </is>
      </c>
    </row>
    <row r="24">
      <c r="A24" s="6" t="inlineStr">
        <is>
          <t>tranche_net_npd_sbp</t>
        </is>
      </c>
      <c r="B24" t="inlineStr">
        <is>
          <t>Транш: остаётся (НПД + СБП − наборы)</t>
        </is>
      </c>
      <c r="C24" t="inlineStr">
        <is>
          <t>₽</t>
        </is>
      </c>
      <c r="D24" s="11">
        <f>'Параметры'!$D$5*$D$13+'Параметры'!$D$6*$D$20</f>
        <v/>
      </c>
      <c r="E24" s="6" t="inlineStr"/>
      <c r="F24" s="6" t="inlineStr">
        <is>
          <t>{seats_basic}*{basic_net_npd_sbp}+{seats_founder}*{founder_net_npd_sbp}</t>
        </is>
      </c>
    </row>
    <row r="25">
      <c r="A25" s="6" t="inlineStr">
        <is>
          <t>npd_headroom</t>
        </is>
      </c>
      <c r="B25" t="inlineStr">
        <is>
          <t>Запас до лимита НПД в год продажи транша</t>
        </is>
      </c>
      <c r="C25" t="inlineStr">
        <is>
          <t>₽</t>
        </is>
      </c>
      <c r="D25" s="11">
        <f>'Параметры'!$D$24-$D$23</f>
        <v/>
      </c>
      <c r="E25" s="6" t="inlineStr">
        <is>
          <t>всё сверх — уже ИП</t>
        </is>
      </c>
      <c r="F25" s="6" t="inlineStr">
        <is>
          <t>{npd_limit}-{tranche_gross}</t>
        </is>
      </c>
    </row>
    <row r="26">
      <c r="A26" s="6" t="inlineStr">
        <is>
          <t>v10_typo</t>
        </is>
      </c>
      <c r="B26" t="inlineStr">
        <is>
          <t>Ошибка годовой модели v1.0 (300 × 5 108)</t>
        </is>
      </c>
      <c r="C26" t="inlineStr">
        <is>
          <t>₽</t>
        </is>
      </c>
      <c r="D26" s="11">
        <f>$D$23-$D$22*'Параметры'!$D$3</f>
        <v/>
      </c>
      <c r="E26" s="6" t="inlineStr">
        <is>
          <t>v1.0 недосчитал</t>
        </is>
      </c>
      <c r="F26" s="6" t="inlineStr">
        <is>
          <t>{tranche_gross}-{tranche_seats}*{price_basic}</t>
        </is>
      </c>
    </row>
    <row r="27">
      <c r="A27" s="4" t="n"/>
      <c r="B27" s="5" t="inlineStr">
        <is>
          <t>Честно для участника: сколько возвращают привилегии</t>
        </is>
      </c>
      <c r="C27" s="4" t="n"/>
      <c r="D27" s="4" t="n"/>
      <c r="E27" s="4" t="n"/>
      <c r="F27" s="4" t="n"/>
    </row>
    <row r="28">
      <c r="A28" s="6" t="inlineStr">
        <is>
          <t>saving_min</t>
        </is>
      </c>
      <c r="B28" t="inlineStr">
        <is>
          <t>Экономия в год при 3%</t>
        </is>
      </c>
      <c r="C28" t="inlineStr">
        <is>
          <t>₽</t>
        </is>
      </c>
      <c r="D28" s="11">
        <f>'Параметры'!$D$11*12*'Параметры'!$D$12</f>
        <v/>
      </c>
      <c r="E28" s="6" t="inlineStr">
        <is>
          <t>7 000 × 12 × 3%</t>
        </is>
      </c>
      <c r="F28" s="6" t="inlineStr">
        <is>
          <t>{spend}*12*{priv_min}</t>
        </is>
      </c>
    </row>
    <row r="29">
      <c r="A29" s="6" t="inlineStr">
        <is>
          <t>saving_avg</t>
        </is>
      </c>
      <c r="B29" t="inlineStr">
        <is>
          <t>Экономия в год при 5%</t>
        </is>
      </c>
      <c r="C29" t="inlineStr">
        <is>
          <t>₽</t>
        </is>
      </c>
      <c r="D29" s="11">
        <f>'Параметры'!$D$11*12*'Параметры'!$D$13</f>
        <v/>
      </c>
      <c r="E29" s="6" t="inlineStr">
        <is>
          <t>7 000 × 12 × 5%</t>
        </is>
      </c>
      <c r="F29" s="6" t="inlineStr">
        <is>
          <t>{spend}*12*{priv_avg}</t>
        </is>
      </c>
    </row>
    <row r="30">
      <c r="A30" s="6" t="inlineStr">
        <is>
          <t>saving_max</t>
        </is>
      </c>
      <c r="B30" t="inlineStr">
        <is>
          <t>Экономия в год при 7%</t>
        </is>
      </c>
      <c r="C30" t="inlineStr">
        <is>
          <t>₽</t>
        </is>
      </c>
      <c r="D30" s="11">
        <f>'Параметры'!$D$11*12*'Параметры'!$D$14</f>
        <v/>
      </c>
      <c r="E30" s="6" t="inlineStr">
        <is>
          <t>7 000 × 12 × 7%</t>
        </is>
      </c>
      <c r="F30" s="6" t="inlineStr">
        <is>
          <t>{spend}*12*{priv_max}</t>
        </is>
      </c>
    </row>
    <row r="31">
      <c r="A31" s="6" t="inlineStr">
        <is>
          <t>payback_avg</t>
        </is>
      </c>
      <c r="B31" t="inlineStr">
        <is>
          <t>Привилегии при 5% возвращают от цены Basic</t>
        </is>
      </c>
      <c r="C31" t="inlineStr">
        <is>
          <t>%</t>
        </is>
      </c>
      <c r="D31" s="12">
        <f>ROUND($D$29/'Параметры'!$D$3,4)</f>
        <v/>
      </c>
      <c r="E31" s="6" t="inlineStr">
        <is>
          <t>остальное — события и люди</t>
        </is>
      </c>
      <c r="F31" s="6" t="inlineStr">
        <is>
          <t>ROUND({saving_avg}/{price_basic},4)</t>
        </is>
      </c>
    </row>
    <row r="32">
      <c r="A32" s="6" t="inlineStr">
        <is>
          <t>breakeven_min</t>
        </is>
      </c>
      <c r="B32" t="inlineStr">
        <is>
          <t>Basic окупается привилегиями при расходе (3%)</t>
        </is>
      </c>
      <c r="C32" t="inlineStr">
        <is>
          <t>₽</t>
        </is>
      </c>
      <c r="D32" s="11">
        <f>ROUND('Параметры'!$D$3/12/'Параметры'!$D$12,2)</f>
        <v/>
      </c>
      <c r="E32" s="6" t="inlineStr">
        <is>
          <t>в месяц</t>
        </is>
      </c>
      <c r="F32" s="6" t="inlineStr">
        <is>
          <t>ROUND({price_basic}/12/{priv_min},2)</t>
        </is>
      </c>
    </row>
    <row r="33">
      <c r="A33" s="6" t="inlineStr">
        <is>
          <t>breakeven_avg</t>
        </is>
      </c>
      <c r="B33" t="inlineStr">
        <is>
          <t>Basic окупается привилегиями при расходе (5%)</t>
        </is>
      </c>
      <c r="C33" t="inlineStr">
        <is>
          <t>₽</t>
        </is>
      </c>
      <c r="D33" s="11">
        <f>ROUND('Параметры'!$D$3/12/'Параметры'!$D$13,2)</f>
        <v/>
      </c>
      <c r="E33" s="6" t="inlineStr">
        <is>
          <t>в месяц</t>
        </is>
      </c>
      <c r="F33" s="6" t="inlineStr">
        <is>
          <t>ROUND({price_basic}/12/{priv_avg},2)</t>
        </is>
      </c>
    </row>
    <row r="34">
      <c r="A34" s="6" t="inlineStr">
        <is>
          <t>breakeven_max</t>
        </is>
      </c>
      <c r="B34" t="inlineStr">
        <is>
          <t>Basic окупается привилегиями при расходе (7%)</t>
        </is>
      </c>
      <c r="C34" t="inlineStr">
        <is>
          <t>₽</t>
        </is>
      </c>
      <c r="D34" s="11">
        <f>ROUND('Параметры'!$D$3/12/'Параметры'!$D$14,2)</f>
        <v/>
      </c>
      <c r="E34" s="6" t="inlineStr">
        <is>
          <t>в месяц</t>
        </is>
      </c>
      <c r="F34" s="6" t="inlineStr">
        <is>
          <t>ROUND({price_basic}/12/{priv_max},2)</t>
        </is>
      </c>
    </row>
    <row r="35">
      <c r="A35" s="6" t="inlineStr">
        <is>
          <t>founder_breakeven_avg</t>
        </is>
      </c>
      <c r="B35" t="inlineStr">
        <is>
          <t>«Основатели» окупаются привилегиями при расходе (5%)</t>
        </is>
      </c>
      <c r="C35" t="inlineStr">
        <is>
          <t>₽</t>
        </is>
      </c>
      <c r="D35" s="11">
        <f>ROUND('Параметры'!$D$4/12/'Параметры'!$D$13,2)</f>
        <v/>
      </c>
      <c r="E35" s="6" t="inlineStr">
        <is>
          <t>в месяц — это статус, не скидка</t>
        </is>
      </c>
      <c r="F35" s="6" t="inlineStr">
        <is>
          <t>ROUND({price_founder}/12/{priv_avg},2)</t>
        </is>
      </c>
    </row>
    <row r="36">
      <c r="A36" s="4" t="n"/>
      <c r="B36" s="5" t="inlineStr">
        <is>
          <t>Честно для партнёра: что стоит привилегия и что даёт клуб</t>
        </is>
      </c>
      <c r="C36" s="4" t="n"/>
      <c r="D36" s="4" t="n"/>
      <c r="E36" s="4" t="n"/>
      <c r="F36" s="4" t="n"/>
    </row>
    <row r="37">
      <c r="A37" s="6" t="inlineStr">
        <is>
          <t>seats_per_partner</t>
        </is>
      </c>
      <c r="B37" t="inlineStr">
        <is>
          <t>Мест на одного партнёра</t>
        </is>
      </c>
      <c r="C37" t="inlineStr">
        <is>
          <t>шт</t>
        </is>
      </c>
      <c r="D37" s="13">
        <f>FLOOR('Параметры'!$D$17/'Параметры'!$D$11,1)</f>
        <v/>
      </c>
      <c r="E37" s="6" t="inlineStr">
        <is>
          <t>доп. оборот ÷ расход участника (правило v1.0)</t>
        </is>
      </c>
      <c r="F37" s="6" t="inlineStr">
        <is>
          <t>FLOOR({partner_turnover}/{spend},1)</t>
        </is>
      </c>
    </row>
    <row r="38">
      <c r="A38" s="6" t="inlineStr">
        <is>
          <t>partner_priv_cost</t>
        </is>
      </c>
      <c r="B38" t="inlineStr">
        <is>
          <t>Партнёр отдаёт привилегией в месяц</t>
        </is>
      </c>
      <c r="C38" t="inlineStr">
        <is>
          <t>₽</t>
        </is>
      </c>
      <c r="D38" s="11">
        <f>'Параметры'!$D$17*'Параметры'!$D$13</f>
        <v/>
      </c>
      <c r="E38" s="6" t="inlineStr">
        <is>
          <t>оборот × 5%</t>
        </is>
      </c>
      <c r="F38" s="6" t="inlineStr">
        <is>
          <t>{partner_turnover}*{priv_avg}</t>
        </is>
      </c>
    </row>
    <row r="39">
      <c r="A39" s="6" t="inlineStr">
        <is>
          <t>partner_new_profit</t>
        </is>
      </c>
      <c r="B39" t="inlineStr">
        <is>
          <t>Партнёр получает маржи с новых гостей в месяц</t>
        </is>
      </c>
      <c r="C39" t="inlineStr">
        <is>
          <t>₽</t>
        </is>
      </c>
      <c r="D39" s="11">
        <f>'Параметры'!$D$17*'Параметры'!$D$19*'Параметры'!$D$18</f>
        <v/>
      </c>
      <c r="E39" s="6" t="inlineStr">
        <is>
          <t>оборот × доля новых × маржа</t>
        </is>
      </c>
      <c r="F39" s="6" t="inlineStr">
        <is>
          <t>{partner_turnover}*{partner_new_share}*{partner_margin}</t>
        </is>
      </c>
    </row>
    <row r="40">
      <c r="A40" s="6" t="inlineStr">
        <is>
          <t>partner_gain</t>
        </is>
      </c>
      <c r="B40" t="inlineStr">
        <is>
          <t>Итог партнёра в месяц</t>
        </is>
      </c>
      <c r="C40" t="inlineStr">
        <is>
          <t>₽</t>
        </is>
      </c>
      <c r="D40" s="11">
        <f>$D$39-$D$38</f>
        <v/>
      </c>
      <c r="E40" s="6" t="inlineStr"/>
      <c r="F40" s="6" t="inlineStr">
        <is>
          <t>{partner_new_profit}-{partner_priv_cost}</t>
        </is>
      </c>
    </row>
    <row r="41">
      <c r="A41" s="6" t="inlineStr">
        <is>
          <t>partner_gain_year</t>
        </is>
      </c>
      <c r="B41" t="inlineStr">
        <is>
          <t>Итог партнёра в год</t>
        </is>
      </c>
      <c r="C41" t="inlineStr">
        <is>
          <t>₽</t>
        </is>
      </c>
      <c r="D41" s="11">
        <f>$D$40*12</f>
        <v/>
      </c>
      <c r="E41" s="6" t="inlineStr"/>
      <c r="F41" s="6" t="inlineStr">
        <is>
          <t>{partner_gain}*12</t>
        </is>
      </c>
    </row>
    <row r="42">
      <c r="A42" s="6" t="inlineStr">
        <is>
          <t>partner_breakeven_share</t>
        </is>
      </c>
      <c r="B42" t="inlineStr">
        <is>
          <t>Партнёр в плюсе, если новых гостей не меньше</t>
        </is>
      </c>
      <c r="C42" t="inlineStr">
        <is>
          <t>%</t>
        </is>
      </c>
      <c r="D42" s="12">
        <f>ROUND('Параметры'!$D$13/'Параметры'!$D$18,4)</f>
        <v/>
      </c>
      <c r="E42" s="6" t="inlineStr">
        <is>
          <t>привилегия ÷ маржа</t>
        </is>
      </c>
      <c r="F42" s="6" t="inlineStr">
        <is>
          <t>ROUND({priv_avg}/{partner_margin},4)</t>
        </is>
      </c>
    </row>
    <row r="43">
      <c r="A43" s="6" t="inlineStr">
        <is>
          <t>partners_for_founders</t>
        </is>
      </c>
      <c r="B43" t="inlineStr">
        <is>
          <t>Партнёров нужно, чтобы открыть 50 мест «Основатели»</t>
        </is>
      </c>
      <c r="C43" t="inlineStr">
        <is>
          <t>шт</t>
        </is>
      </c>
      <c r="D43" s="13">
        <f>CEILING('Параметры'!$D$6/$D$37,1)</f>
        <v/>
      </c>
      <c r="E43" s="6" t="inlineStr"/>
      <c r="F43" s="6" t="inlineStr">
        <is>
          <t>CEILING({seats_founder}/{seats_per_partner},1)</t>
        </is>
      </c>
    </row>
    <row r="44">
      <c r="A44" s="6" t="inlineStr">
        <is>
          <t>partners_for_tranche</t>
        </is>
      </c>
      <c r="B44" t="inlineStr">
        <is>
          <t>Партнёров нужно на весь транш</t>
        </is>
      </c>
      <c r="C44" t="inlineStr">
        <is>
          <t>шт</t>
        </is>
      </c>
      <c r="D44" s="13">
        <f>CEILING($D$22/$D$37,1)</f>
        <v/>
      </c>
      <c r="E44" s="6" t="inlineStr">
        <is>
          <t>это два «С» логотипа</t>
        </is>
      </c>
      <c r="F44" s="6" t="inlineStr">
        <is>
          <t>CEILING({tranche_seats}/{seats_per_partner},1)</t>
        </is>
      </c>
    </row>
    <row r="45">
      <c r="A45" s="6" t="inlineStr">
        <is>
          <t>seats_open</t>
        </is>
      </c>
      <c r="B45" t="inlineStr">
        <is>
          <t>Можно продать мест сейчас</t>
        </is>
      </c>
      <c r="C45" t="inlineStr">
        <is>
          <t>шт</t>
        </is>
      </c>
      <c r="D45" s="13">
        <f>MIN($D$22,'Параметры'!$D$8*$D$37)</f>
        <v/>
      </c>
      <c r="E45" s="6" t="inlineStr">
        <is>
          <t>15 × подписанные партнёры</t>
        </is>
      </c>
      <c r="F45" s="6" t="inlineStr">
        <is>
          <t>MIN({tranche_seats},{partners_signed}*{seats_per_partner})</t>
        </is>
      </c>
    </row>
    <row r="46">
      <c r="A46" s="6" t="inlineStr">
        <is>
          <t>club_turnover_full</t>
        </is>
      </c>
      <c r="B46" t="inlineStr">
        <is>
          <t>Оборот клуба у партнёров при 300 участниках</t>
        </is>
      </c>
      <c r="C46" t="inlineStr">
        <is>
          <t>₽</t>
        </is>
      </c>
      <c r="D46" s="11">
        <f>$D$22*'Параметры'!$D$11</f>
        <v/>
      </c>
      <c r="E46" s="6" t="inlineStr">
        <is>
          <t>в месяц, это НЕ наш доход</t>
        </is>
      </c>
      <c r="F46" s="6" t="inlineStr">
        <is>
          <t>{tranche_seats}*{spend}</t>
        </is>
      </c>
    </row>
    <row r="47">
      <c r="A47" s="4" t="n"/>
      <c r="B47" s="5" t="inlineStr">
        <is>
          <t>Возврат (ст. 32 ЗоЗПП): пропорционально дням минус фактические расходы</t>
        </is>
      </c>
      <c r="C47" s="4" t="n"/>
      <c r="D47" s="4" t="n"/>
      <c r="E47" s="4" t="n"/>
      <c r="F47" s="4" t="n"/>
    </row>
    <row r="48">
      <c r="A48" s="6" t="inlineStr">
        <is>
          <t>refund_days_left</t>
        </is>
      </c>
      <c r="B48" t="inlineStr">
        <is>
          <t>Пример: осталось дней</t>
        </is>
      </c>
      <c r="C48" t="inlineStr">
        <is>
          <t>дн</t>
        </is>
      </c>
      <c r="D48" s="13">
        <f>'Параметры'!$D$7-'Параметры'!$D$9</f>
        <v/>
      </c>
      <c r="E48" s="6" t="inlineStr"/>
      <c r="F48" s="6" t="inlineStr">
        <is>
          <t>{days_year}-{refund_days_used}</t>
        </is>
      </c>
    </row>
    <row r="49">
      <c r="A49" s="6" t="inlineStr">
        <is>
          <t>refund_basic_unused</t>
        </is>
      </c>
      <c r="B49" t="inlineStr">
        <is>
          <t>Basic: стоимость неиспользованных дней</t>
        </is>
      </c>
      <c r="C49" t="inlineStr">
        <is>
          <t>₽</t>
        </is>
      </c>
      <c r="D49" s="11">
        <f>ROUND('Параметры'!$D$3*$D$48/'Параметры'!$D$7,2)</f>
        <v/>
      </c>
      <c r="E49" s="6" t="inlineStr"/>
      <c r="F49" s="6" t="inlineStr">
        <is>
          <t>ROUND({price_basic}*{refund_days_left}/{days_year},2)</t>
        </is>
      </c>
    </row>
    <row r="50">
      <c r="A50" s="6" t="inlineStr">
        <is>
          <t>refund_basic</t>
        </is>
      </c>
      <c r="B50" t="inlineStr">
        <is>
          <t>Basic: к возврату</t>
        </is>
      </c>
      <c r="C50" t="inlineStr">
        <is>
          <t>₽</t>
        </is>
      </c>
      <c r="D50" s="11">
        <f>MAX(0,$D$49-$D$9)</f>
        <v/>
      </c>
      <c r="E50" s="6" t="inlineStr">
        <is>
          <t>минус комиссия, которую уже взяли</t>
        </is>
      </c>
      <c r="F50" s="6" t="inlineStr">
        <is>
          <t>MAX(0,{refund_basic_unused}-{basic_fee_sbp})</t>
        </is>
      </c>
    </row>
    <row r="51">
      <c r="A51" s="6" t="inlineStr">
        <is>
          <t>refund_founder_unused</t>
        </is>
      </c>
      <c r="B51" t="inlineStr">
        <is>
          <t>«Основатели»: стоимость неиспользованных дней</t>
        </is>
      </c>
      <c r="C51" t="inlineStr">
        <is>
          <t>₽</t>
        </is>
      </c>
      <c r="D51" s="11">
        <f>ROUND('Параметры'!$D$4*$D$48/'Параметры'!$D$7,2)</f>
        <v/>
      </c>
      <c r="E51" s="6" t="inlineStr"/>
      <c r="F51" s="6" t="inlineStr">
        <is>
          <t>ROUND({price_founder}*{refund_days_left}/{days_year},2)</t>
        </is>
      </c>
    </row>
    <row r="52">
      <c r="A52" s="6" t="inlineStr">
        <is>
          <t>refund_founder</t>
        </is>
      </c>
      <c r="B52" t="inlineStr">
        <is>
          <t>«Основатели»: к возврату</t>
        </is>
      </c>
      <c r="C52" t="inlineStr">
        <is>
          <t>₽</t>
        </is>
      </c>
      <c r="D52" s="11">
        <f>MAX(0,$D$51-$D$18-$D$16)</f>
        <v/>
      </c>
      <c r="E52" s="6" t="inlineStr">
        <is>
          <t>минус комиссия и себестоимость выданного набора</t>
        </is>
      </c>
      <c r="F52" s="6" t="inlineStr">
        <is>
          <t>MAX(0,{refund_founder_unused}-{founder_fee_sbp}-{founder_kit_cost})</t>
        </is>
      </c>
    </row>
    <row r="53">
      <c r="A53" s="4" t="n"/>
      <c r="B53" s="5" t="inlineStr">
        <is>
          <t>XP и приглашения в рублях</t>
        </is>
      </c>
      <c r="C53" s="4" t="n"/>
      <c r="D53" s="4" t="n"/>
      <c r="E53" s="4" t="n"/>
      <c r="F53" s="4" t="n"/>
    </row>
    <row r="54">
      <c r="A54" s="6" t="inlineStr">
        <is>
          <t>ref_bonus_value</t>
        </is>
      </c>
      <c r="B54" t="inlineStr">
        <is>
          <t>+30 дней за оплатившего приглашённого стоят</t>
        </is>
      </c>
      <c r="C54" t="inlineStr">
        <is>
          <t>₽</t>
        </is>
      </c>
      <c r="D54" s="11">
        <f>ROUND('Параметры'!$D$3*'Параметры'!$D$59/'Параметры'!$D$7,2)</f>
        <v/>
      </c>
      <c r="E54" s="6" t="inlineStr">
        <is>
          <t>5 108 × 30 ÷ 365</t>
        </is>
      </c>
      <c r="F54" s="6" t="inlineStr">
        <is>
          <t>ROUND({price_basic}*{ref_days}/{days_year},2)</t>
        </is>
      </c>
    </row>
    <row r="55">
      <c r="A55" s="6" t="inlineStr">
        <is>
          <t>ref_bonus_share</t>
        </is>
      </c>
      <c r="B55" t="inlineStr">
        <is>
          <t>Это от цены Basic</t>
        </is>
      </c>
      <c r="C55" t="inlineStr">
        <is>
          <t>%</t>
        </is>
      </c>
      <c r="D55" s="12">
        <f>ROUND($D$54/'Параметры'!$D$3,4)</f>
        <v/>
      </c>
      <c r="E55" s="6" t="inlineStr">
        <is>
          <t>как комиссия за привод</t>
        </is>
      </c>
      <c r="F55" s="6" t="inlineStr">
        <is>
          <t>ROUND({ref_bonus_value}/{price_basic},4)</t>
        </is>
      </c>
    </row>
    <row r="56">
      <c r="A56" s="6" t="inlineStr">
        <is>
          <t>ref_bonus_year_max</t>
        </is>
      </c>
      <c r="B56" t="inlineStr">
        <is>
          <t>Максимум в год на одного участника (6 приглашённых)</t>
        </is>
      </c>
      <c r="C56" t="inlineStr">
        <is>
          <t>₽</t>
        </is>
      </c>
      <c r="D56" s="11">
        <f>ROUND('Параметры'!$D$3*'Параметры'!$D$59*'Параметры'!$D$60/'Параметры'!$D$7,2)</f>
        <v/>
      </c>
      <c r="E56" s="6" t="inlineStr"/>
      <c r="F56" s="6" t="inlineStr">
        <is>
          <t>ROUND({price_basic}*{ref_days}*{ref_max}/{days_year},2)</t>
        </is>
      </c>
    </row>
    <row r="57">
      <c r="A57" s="6" t="inlineStr">
        <is>
          <t>grant_value</t>
        </is>
      </c>
      <c r="B57" t="inlineStr">
        <is>
          <t>Грант за 7000 XP стоит</t>
        </is>
      </c>
      <c r="C57" t="inlineStr">
        <is>
          <t>₽</t>
        </is>
      </c>
      <c r="D57" s="11">
        <f>ROUND('Параметры'!$D$3*'Параметры'!$D$57/'Параметры'!$D$7,2)</f>
        <v/>
      </c>
      <c r="E57" s="6" t="inlineStr">
        <is>
          <t>12 месяцев Basic</t>
        </is>
      </c>
      <c r="F57" s="6" t="inlineStr">
        <is>
          <t>ROUND({price_basic}*{grant_days}/{days_year},2)</t>
        </is>
      </c>
    </row>
    <row r="58">
      <c r="A58" s="6" t="inlineStr">
        <is>
          <t>grant_seats</t>
        </is>
      </c>
      <c r="B58" t="inlineStr">
        <is>
          <t>Грантов на транш максимум</t>
        </is>
      </c>
      <c r="C58" t="inlineStr">
        <is>
          <t>шт</t>
        </is>
      </c>
      <c r="D58" s="13">
        <f>FLOOR($D$22*'Параметры'!$D$58,1)</f>
        <v/>
      </c>
      <c r="E58" s="6" t="inlineStr">
        <is>
          <t>10% мест</t>
        </is>
      </c>
      <c r="F58" s="6" t="inlineStr">
        <is>
          <t>FLOOR({tranche_seats}*{grant_quota},1)</t>
        </is>
      </c>
    </row>
    <row r="59">
      <c r="A59" s="6" t="inlineStr">
        <is>
          <t>grant_max_forgone</t>
        </is>
      </c>
      <c r="B59" t="inlineStr">
        <is>
          <t>Недополученная выручка, если все гранты заняты и транш продан</t>
        </is>
      </c>
      <c r="C59" t="inlineStr">
        <is>
          <t>₽</t>
        </is>
      </c>
      <c r="D59" s="11">
        <f>$D$58*$D$57</f>
        <v/>
      </c>
      <c r="E59" s="6" t="inlineStr">
        <is>
          <t>раньше чем через ~14 месяцев не наступит</t>
        </is>
      </c>
      <c r="F59" s="6" t="inlineStr">
        <is>
          <t>{grant_seats}*{grant_value}</t>
        </is>
      </c>
    </row>
    <row r="60">
      <c r="A60" s="6" t="inlineStr">
        <is>
          <t>grant_min_days</t>
        </is>
      </c>
      <c r="B60" t="inlineStr">
        <is>
          <t>Минимум дней одними кнопками до 7000</t>
        </is>
      </c>
      <c r="C60" t="inlineStr">
        <is>
          <t>дн</t>
        </is>
      </c>
      <c r="D60" s="13">
        <f>CEILING(('Параметры'!$D$56-10)/'Параметры'!$D$61,1)</f>
        <v/>
      </c>
      <c r="E60" s="6" t="inlineStr">
        <is>
          <t>старт паспорта = 10 XP</t>
        </is>
      </c>
      <c r="F60" s="6" t="inlineStr">
        <is>
          <t>CEILING(({xp_grant}-10)/{xp_daily_cap},1)</t>
        </is>
      </c>
    </row>
    <row r="61">
      <c r="A61" s="4" t="n"/>
      <c r="B61" s="5" t="inlineStr">
        <is>
          <t>Реклама: цена = охват × CPM, но не ниже минимума</t>
        </is>
      </c>
      <c r="C61" s="4" t="n"/>
      <c r="D61" s="4" t="n"/>
      <c r="E61" s="4" t="n"/>
      <c r="F61" s="4" t="n"/>
    </row>
    <row r="62">
      <c r="A62" s="6" t="inlineStr">
        <is>
          <t>ad_post</t>
        </is>
      </c>
      <c r="B62" t="inlineStr">
        <is>
          <t>Пост в канале</t>
        </is>
      </c>
      <c r="C62" t="inlineStr">
        <is>
          <t>₽</t>
        </is>
      </c>
      <c r="D62" s="11">
        <f>MAX('Параметры'!$D$45,ROUND('Параметры'!$D$42*'Параметры'!$D$44/1000,-2))</f>
        <v/>
      </c>
      <c r="E62" s="6" t="inlineStr">
        <is>
          <t>охват × CPM ÷ 1000, до сотни</t>
        </is>
      </c>
      <c r="F62" s="6" t="inlineStr">
        <is>
          <t>MAX({ad_min_post},ROUND({ad_views_post}*{ad_cpm}/1000,-2))</t>
        </is>
      </c>
    </row>
    <row r="63">
      <c r="A63" s="6" t="inlineStr">
        <is>
          <t>ad_post_p</t>
        </is>
      </c>
      <c r="B63" t="inlineStr">
        <is>
          <t>Пост — партнёру</t>
        </is>
      </c>
      <c r="C63" t="inlineStr">
        <is>
          <t>₽</t>
        </is>
      </c>
      <c r="D63" s="11">
        <f>ROUND($D$62*(1-'Параметры'!$D$51),2)</f>
        <v/>
      </c>
      <c r="E63" s="6" t="inlineStr">
        <is>
          <t>−50%</t>
        </is>
      </c>
      <c r="F63" s="6" t="inlineStr">
        <is>
          <t>ROUND({ad_post}*(1-{ad_partner_disc}),2)</t>
        </is>
      </c>
    </row>
    <row r="64">
      <c r="A64" s="6" t="inlineStr">
        <is>
          <t>ad_card</t>
        </is>
      </c>
      <c r="B64" t="inlineStr">
        <is>
          <t>«Рекомендуем» в категории, 7 дней</t>
        </is>
      </c>
      <c r="C64" t="inlineStr">
        <is>
          <t>₽</t>
        </is>
      </c>
      <c r="D64" s="11">
        <f>MAX('Параметры'!$D$46,ROUND('Параметры'!$D$43*'Параметры'!$D$44/1000,-2))</f>
        <v/>
      </c>
      <c r="E64" s="6" t="inlineStr">
        <is>
          <t>показы × CPM ÷ 1000</t>
        </is>
      </c>
      <c r="F64" s="6" t="inlineStr">
        <is>
          <t>MAX({ad_min_card},ROUND({ad_views_card}*{ad_cpm}/1000,-2))</t>
        </is>
      </c>
    </row>
    <row r="65">
      <c r="A65" s="6" t="inlineStr">
        <is>
          <t>ad_card_p</t>
        </is>
      </c>
      <c r="B65" t="inlineStr">
        <is>
          <t>«Рекомендуем» — партнёру</t>
        </is>
      </c>
      <c r="C65" t="inlineStr">
        <is>
          <t>₽</t>
        </is>
      </c>
      <c r="D65" s="11">
        <f>ROUND($D$64*(1-'Параметры'!$D$51),2)</f>
        <v/>
      </c>
      <c r="E65" s="6" t="inlineStr"/>
      <c r="F65" s="6" t="inlineStr">
        <is>
          <t>ROUND({ad_card}*(1-{ad_partner_disc}),2)</t>
        </is>
      </c>
    </row>
    <row r="66">
      <c r="A66" s="6" t="inlineStr">
        <is>
          <t>ad_guide</t>
        </is>
      </c>
      <c r="B66" t="inlineStr">
        <is>
          <t>Подборка (3 места)</t>
        </is>
      </c>
      <c r="C66" t="inlineStr">
        <is>
          <t>₽</t>
        </is>
      </c>
      <c r="D66" s="11">
        <f>'Параметры'!$D$47*'Параметры'!$D$48</f>
        <v/>
      </c>
      <c r="E66" s="6" t="inlineStr">
        <is>
          <t>+1 000 за каждое место сверх</t>
        </is>
      </c>
      <c r="F66" s="6" t="inlineStr">
        <is>
          <t>{ad_guide_place}*{ad_guide_min}</t>
        </is>
      </c>
    </row>
    <row r="67">
      <c r="A67" s="6" t="inlineStr">
        <is>
          <t>ad_guide_p</t>
        </is>
      </c>
      <c r="B67" t="inlineStr">
        <is>
          <t>Подборка — партнёру</t>
        </is>
      </c>
      <c r="C67" t="inlineStr">
        <is>
          <t>₽</t>
        </is>
      </c>
      <c r="D67" s="11">
        <f>ROUND($D$66*(1-'Параметры'!$D$51),2)</f>
        <v/>
      </c>
      <c r="E67" s="6" t="inlineStr"/>
      <c r="F67" s="6" t="inlineStr">
        <is>
          <t>ROUND({ad_guide}*(1-{ad_partner_disc}),2)</t>
        </is>
      </c>
    </row>
    <row r="68">
      <c r="A68" s="6" t="inlineStr">
        <is>
          <t>ad_route_p</t>
        </is>
      </c>
      <c r="B68" t="inlineStr">
        <is>
          <t>Маршрут — партнёру</t>
        </is>
      </c>
      <c r="C68" t="inlineStr">
        <is>
          <t>₽</t>
        </is>
      </c>
      <c r="D68" s="11">
        <f>ROUND('Параметры'!$D$49*(1-'Параметры'!$D$51),2)</f>
        <v/>
      </c>
      <c r="E68" s="6" t="inlineStr"/>
      <c r="F68" s="6" t="inlineStr">
        <is>
          <t>ROUND({ad_route}*(1-{ad_partner_disc}),2)</t>
        </is>
      </c>
    </row>
    <row r="69">
      <c r="A69" s="6" t="inlineStr">
        <is>
          <t>ad_event_p</t>
        </is>
      </c>
      <c r="B69" t="inlineStr">
        <is>
          <t>Анонс — партнёру (после бесплатного в месяц)</t>
        </is>
      </c>
      <c r="C69" t="inlineStr">
        <is>
          <t>₽</t>
        </is>
      </c>
      <c r="D69" s="11">
        <f>ROUND('Параметры'!$D$50*(1-'Параметры'!$D$51),2)</f>
        <v/>
      </c>
      <c r="E69" s="6" t="inlineStr"/>
      <c r="F69" s="6" t="inlineStr">
        <is>
          <t>ROUND({ad_event}*(1-{ad_partner_disc}),2)</t>
        </is>
      </c>
    </row>
    <row r="70">
      <c r="A70" s="6" t="inlineStr">
        <is>
          <t>ad_post_net</t>
        </is>
      </c>
      <c r="B70" t="inlineStr">
        <is>
          <t>Пост: остаётся (НПД 6% с бизнеса + 3% сбор)</t>
        </is>
      </c>
      <c r="C70" t="inlineStr">
        <is>
          <t>₽</t>
        </is>
      </c>
      <c r="D70" s="11">
        <f>$D$62-ROUND($D$62*'Параметры'!$D$23,2)-ROUND($D$62*'Параметры'!$D$33,2)</f>
        <v/>
      </c>
      <c r="E70" s="6" t="inlineStr">
        <is>
          <t>оплата переводом, без эквайринга</t>
        </is>
      </c>
      <c r="F70" s="6" t="inlineStr">
        <is>
          <t>{ad_post}-ROUND({ad_post}*{npd_biz},2)-ROUND({ad_post}*{ad_levy},2)</t>
        </is>
      </c>
    </row>
    <row r="71">
      <c r="A71" s="6" t="inlineStr">
        <is>
          <t>ad_post_p_net</t>
        </is>
      </c>
      <c r="B71" t="inlineStr">
        <is>
          <t>Пост партнёру: остаётся</t>
        </is>
      </c>
      <c r="C71" t="inlineStr">
        <is>
          <t>₽</t>
        </is>
      </c>
      <c r="D71" s="11">
        <f>$D$63-ROUND($D$63*'Параметры'!$D$23,2)-ROUND($D$63*'Параметры'!$D$33,2)</f>
        <v/>
      </c>
      <c r="E71" s="6" t="inlineStr"/>
      <c r="F71" s="6" t="inlineStr">
        <is>
          <t>{ad_post_p}-ROUND({ad_post_p}*{npd_biz},2)-ROUND({ad_post_p}*{ad_levy},2)</t>
        </is>
      </c>
    </row>
    <row r="72">
      <c r="A72" s="6" t="inlineStr">
        <is>
          <t>shoot_net</t>
        </is>
      </c>
      <c r="B72" t="inlineStr">
        <is>
          <t>Съёмка: остаётся</t>
        </is>
      </c>
      <c r="C72" t="inlineStr">
        <is>
          <t>₽</t>
        </is>
      </c>
      <c r="D72" s="11">
        <f>'Параметры'!$D$52*(1-'Параметры'!$D$54)-ROUND('Параметры'!$D$52*'Параметры'!$D$23,2)</f>
        <v/>
      </c>
      <c r="E72" s="6" t="inlineStr">
        <is>
          <t>минус 40% оператору и 6%</t>
        </is>
      </c>
      <c r="F72" s="6" t="inlineStr">
        <is>
          <t>{shoot_price}*(1-{shoot_cost})-ROUND({shoot_price}*{npd_biz},2)</t>
        </is>
      </c>
    </row>
    <row r="73">
      <c r="A73" s="6" t="inlineStr">
        <is>
          <t>shoot_partner_net</t>
        </is>
      </c>
      <c r="B73" t="inlineStr">
        <is>
          <t>Съёмка партнёру: остаётся</t>
        </is>
      </c>
      <c r="C73" t="inlineStr">
        <is>
          <t>₽</t>
        </is>
      </c>
      <c r="D73" s="11">
        <f>'Параметры'!$D$53*(1-'Параметры'!$D$54)-ROUND('Параметры'!$D$53*'Параметры'!$D$23,2)</f>
        <v/>
      </c>
      <c r="E73" s="6" t="inlineStr"/>
      <c r="F73" s="6" t="inlineStr">
        <is>
          <t>{shoot_partner}*(1-{shoot_cost})-ROUND({shoot_partner}*{npd_biz},2)</t>
        </is>
      </c>
    </row>
    <row r="74">
      <c r="A74" s="4" t="n"/>
      <c r="B74" s="5" t="inlineStr">
        <is>
          <t>Мерч: только через ИП (самозанятый не может перепродавать товары)</t>
        </is>
      </c>
      <c r="C74" s="4" t="n"/>
      <c r="D74" s="4" t="n"/>
      <c r="E74" s="4" t="n"/>
      <c r="F74" s="4" t="n"/>
    </row>
    <row r="75">
      <c r="A75" s="6" t="inlineStr">
        <is>
          <t>passport_net</t>
        </is>
      </c>
      <c r="B75" t="inlineStr">
        <is>
          <t>Физический паспорт: остаётся</t>
        </is>
      </c>
      <c r="C75" t="inlineStr">
        <is>
          <t>₽</t>
        </is>
      </c>
      <c r="D75" s="11">
        <f>'Параметры'!$D$35-ROUND('Параметры'!$D$35*'Параметры'!$D$29,2)-ROUND('Параметры'!$D$35*'Параметры'!$D$25,2)-'Параметры'!$D$36</f>
        <v/>
      </c>
      <c r="E75" s="6" t="inlineStr">
        <is>
          <t>СБП, УСН 6%, себестоимость</t>
        </is>
      </c>
      <c r="F75" s="6" t="inlineStr">
        <is>
          <t>{passport_price}-ROUND({passport_price}*{acq_sbp},2)-ROUND({passport_price}*{usn},2)-{passport_cost}</t>
        </is>
      </c>
    </row>
    <row r="76">
      <c r="A76" s="6" t="inlineStr">
        <is>
          <t>keychain_net</t>
        </is>
      </c>
      <c r="B76" t="inlineStr">
        <is>
          <t>Брелок: остаётся</t>
        </is>
      </c>
      <c r="C76" t="inlineStr">
        <is>
          <t>₽</t>
        </is>
      </c>
      <c r="D76" s="11">
        <f>'Параметры'!$D$37-ROUND('Параметры'!$D$37*'Параметры'!$D$29,2)-ROUND('Параметры'!$D$37*'Параметры'!$D$25,2)-'Параметры'!$D$38</f>
        <v/>
      </c>
      <c r="E76" s="6" t="inlineStr"/>
      <c r="F76" s="6" t="inlineStr">
        <is>
          <t>{keychain_price}-ROUND({keychain_price}*{acq_sbp},2)-ROUND({keychain_price}*{usn},2)-{keychain_cost}</t>
        </is>
      </c>
    </row>
    <row r="77">
      <c r="A77" s="6" t="inlineStr">
        <is>
          <t>hoodie_net</t>
        </is>
      </c>
      <c r="B77" t="inlineStr">
        <is>
          <t>Худи: остаётся</t>
        </is>
      </c>
      <c r="C77" t="inlineStr">
        <is>
          <t>₽</t>
        </is>
      </c>
      <c r="D77" s="11">
        <f>'Параметры'!$D$39-ROUND('Параметры'!$D$39*'Параметры'!$D$29,2)-ROUND('Параметры'!$D$39*'Параметры'!$D$25,2)-'Параметры'!$D$40</f>
        <v/>
      </c>
      <c r="E77" s="6" t="inlineStr"/>
      <c r="F77" s="6" t="inlineStr">
        <is>
          <t>{hoodie_price}-ROUND({hoodie_price}*{acq_sbp},2)-ROUND({hoodie_price}*{usn},2)-{hoodie_cost}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50" customWidth="1" min="8" max="8"/>
  </cols>
  <sheetData>
    <row r="1">
      <c r="A1" s="14" t="inlineStr">
        <is>
          <t>Сценарии роста. Жёлтое — вводные сценария; цены, налоги и комиссии берутся из «Параметры» и «Расчёт».</t>
        </is>
      </c>
    </row>
    <row r="3">
      <c r="A3" s="3" t="inlineStr">
        <is>
          <t>Показатель</t>
        </is>
      </c>
      <c r="B3" s="3" t="inlineStr">
        <is>
          <t>Ед.</t>
        </is>
      </c>
      <c r="C3" s="3" t="inlineStr">
        <is>
          <t>S1 · Пилот</t>
        </is>
      </c>
      <c r="D3" s="3" t="inlineStr">
        <is>
          <t>S2 · Сеть</t>
        </is>
      </c>
      <c r="E3" s="3" t="inlineStr">
        <is>
          <t>S3 · Город</t>
        </is>
      </c>
      <c r="F3" s="3" t="inlineStr">
        <is>
          <t>S4 · Зрелый город</t>
        </is>
      </c>
      <c r="G3" s="3" t="inlineStr">
        <is>
          <t>S5 · 3 города</t>
        </is>
      </c>
      <c r="H3" s="3" t="n"/>
    </row>
    <row r="4">
      <c r="C4" s="15" t="inlineStr">
        <is>
          <t>5 партнёров · 100 MAU</t>
        </is>
      </c>
      <c r="D4" s="15" t="inlineStr">
        <is>
          <t>10 партнёров · 500 MAU</t>
        </is>
      </c>
      <c r="E4" s="15" t="inlineStr">
        <is>
          <t>30 партнёров · 5 000 MAU</t>
        </is>
      </c>
      <c r="F4" s="15" t="inlineStr">
        <is>
          <t>60 партнёров · 15 000 MAU</t>
        </is>
      </c>
      <c r="G4" s="15" t="inlineStr">
        <is>
          <t>150 партнёров · 50 000 MAU</t>
        </is>
      </c>
    </row>
    <row r="5">
      <c r="A5" s="5" t="inlineStr">
        <is>
          <t>ВВОДНЫЕ СЦЕНАРИЯ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t="inlineStr">
        <is>
          <t>Партнёров (точек)</t>
        </is>
      </c>
      <c r="B6" t="inlineStr">
        <is>
          <t>шт</t>
        </is>
      </c>
      <c r="C6" s="8" t="n">
        <v>5</v>
      </c>
      <c r="D6" s="8" t="n">
        <v>10</v>
      </c>
      <c r="E6" s="8" t="n">
        <v>30</v>
      </c>
      <c r="F6" s="8" t="n">
        <v>60</v>
      </c>
      <c r="G6" s="8" t="n">
        <v>150</v>
      </c>
      <c r="H6" s="6" t="inlineStr"/>
    </row>
    <row r="7">
      <c r="A7" t="inlineStr">
        <is>
          <t>Пользователей бота в месяц (MAU)</t>
        </is>
      </c>
      <c r="B7" t="inlineStr">
        <is>
          <t>чел</t>
        </is>
      </c>
      <c r="C7" s="8" t="n">
        <v>100</v>
      </c>
      <c r="D7" s="8" t="n">
        <v>500</v>
      </c>
      <c r="E7" s="8" t="n">
        <v>5000</v>
      </c>
      <c r="F7" s="8" t="n">
        <v>15000</v>
      </c>
      <c r="G7" s="8" t="n">
        <v>50000</v>
      </c>
      <c r="H7" s="6" t="inlineStr"/>
    </row>
    <row r="8">
      <c r="A8" t="inlineStr">
        <is>
          <t>Мест «Основатели» всего</t>
        </is>
      </c>
      <c r="B8" t="inlineStr">
        <is>
          <t>шт</t>
        </is>
      </c>
      <c r="C8" s="8" t="n">
        <v>50</v>
      </c>
      <c r="D8" s="8" t="n">
        <v>50</v>
      </c>
      <c r="E8" s="8" t="n">
        <v>50</v>
      </c>
      <c r="F8" s="8" t="n">
        <v>50</v>
      </c>
      <c r="G8" s="8" t="n">
        <v>150</v>
      </c>
      <c r="H8" s="6" t="inlineStr">
        <is>
          <t>50 на город</t>
        </is>
      </c>
    </row>
    <row r="9">
      <c r="A9" t="inlineStr">
        <is>
          <t>Конверсия MAU → участник</t>
        </is>
      </c>
      <c r="B9" t="inlineStr">
        <is>
          <t>%</t>
        </is>
      </c>
      <c r="C9" s="10" t="n">
        <v>0.05</v>
      </c>
      <c r="D9" s="10" t="n">
        <v>0.04</v>
      </c>
      <c r="E9" s="10" t="n">
        <v>0.035</v>
      </c>
      <c r="F9" s="10" t="n">
        <v>0.03</v>
      </c>
      <c r="G9" s="10" t="n">
        <v>0.03</v>
      </c>
      <c r="H9" s="6" t="inlineStr">
        <is>
          <t>проверить на пилоте</t>
        </is>
      </c>
    </row>
    <row r="10">
      <c r="A10" t="inlineStr">
        <is>
          <t>Участники из личных продаж</t>
        </is>
      </c>
      <c r="B10" t="inlineStr">
        <is>
          <t>чел</t>
        </is>
      </c>
      <c r="C10" s="8" t="n">
        <v>10</v>
      </c>
      <c r="D10" s="8" t="n">
        <v>30</v>
      </c>
      <c r="E10" s="8" t="n">
        <v>60</v>
      </c>
      <c r="F10" s="8" t="n">
        <v>80</v>
      </c>
      <c r="G10" s="8" t="n">
        <v>150</v>
      </c>
      <c r="H10" s="6" t="inlineStr">
        <is>
          <t>Основатели продаются руками</t>
        </is>
      </c>
    </row>
    <row r="11">
      <c r="A11" t="inlineStr">
        <is>
          <t>Взнос партнёра v2.0 (не принято — решение владельца)</t>
        </is>
      </c>
      <c r="B11" t="inlineStr">
        <is>
          <t>₽/мес</t>
        </is>
      </c>
      <c r="C11" s="9" t="n">
        <v>0</v>
      </c>
      <c r="D11" s="9" t="n">
        <v>0</v>
      </c>
      <c r="E11" s="9" t="n">
        <v>3000</v>
      </c>
      <c r="F11" s="9" t="n">
        <v>3000</v>
      </c>
      <c r="G11" s="9" t="n">
        <v>3000</v>
      </c>
      <c r="H11" s="6" t="inlineStr">
        <is>
          <t>v1.0 разрешает «в последующих версиях»; вводить только после отчёта, что партнёр в плюсе</t>
        </is>
      </c>
    </row>
    <row r="12">
      <c r="A12" t="inlineStr">
        <is>
          <t>Платных размещений SAI в месяц</t>
        </is>
      </c>
      <c r="B12" t="inlineStr">
        <is>
          <t>шт</t>
        </is>
      </c>
      <c r="C12" s="8" t="n">
        <v>2</v>
      </c>
      <c r="D12" s="8" t="n">
        <v>5</v>
      </c>
      <c r="E12" s="8" t="n">
        <v>12</v>
      </c>
      <c r="F12" s="8" t="n">
        <v>20</v>
      </c>
      <c r="G12" s="8" t="n">
        <v>40</v>
      </c>
      <c r="H12" s="6" t="inlineStr">
        <is>
          <t>не чаще 1 рекламы на 6–8 своих постов</t>
        </is>
      </c>
    </row>
    <row r="13">
      <c r="A13" t="inlineStr">
        <is>
          <t>Охват поста</t>
        </is>
      </c>
      <c r="B13" t="inlineStr">
        <is>
          <t>просм.</t>
        </is>
      </c>
      <c r="C13" s="8" t="n">
        <v>800</v>
      </c>
      <c r="D13" s="8" t="n">
        <v>1500</v>
      </c>
      <c r="E13" s="8" t="n">
        <v>4000</v>
      </c>
      <c r="F13" s="8" t="n">
        <v>8000</v>
      </c>
      <c r="G13" s="8" t="n">
        <v>15000</v>
      </c>
      <c r="H13" s="6" t="inlineStr">
        <is>
          <t>≈25–30% подписчиков канала; цена = охват × CPM, не ниже минимума</t>
        </is>
      </c>
    </row>
    <row r="14">
      <c r="A14" t="inlineStr">
        <is>
          <t>Доля размещений от партнёров (−50%)</t>
        </is>
      </c>
      <c r="B14" t="inlineStr">
        <is>
          <t>%</t>
        </is>
      </c>
      <c r="C14" s="10" t="n">
        <v>0.5</v>
      </c>
      <c r="D14" s="10" t="n">
        <v>0.5</v>
      </c>
      <c r="E14" s="10" t="n">
        <v>0.5</v>
      </c>
      <c r="F14" s="10" t="n">
        <v>0.5</v>
      </c>
      <c r="G14" s="10" t="n">
        <v>0.5</v>
      </c>
      <c r="H14" s="6" t="inlineStr"/>
    </row>
    <row r="15">
      <c r="A15" t="inlineStr">
        <is>
          <t>Съёмок в месяц</t>
        </is>
      </c>
      <c r="B15" t="inlineStr">
        <is>
          <t>шт</t>
        </is>
      </c>
      <c r="C15" s="8" t="n">
        <v>0</v>
      </c>
      <c r="D15" s="8" t="n">
        <v>2</v>
      </c>
      <c r="E15" s="8" t="n">
        <v>4</v>
      </c>
      <c r="F15" s="8" t="n">
        <v>8</v>
      </c>
      <c r="G15" s="8" t="n">
        <v>20</v>
      </c>
      <c r="H15" s="6" t="inlineStr"/>
    </row>
    <row r="16">
      <c r="A16" t="inlineStr">
        <is>
          <t>Платных событий в месяц</t>
        </is>
      </c>
      <c r="B16" t="inlineStr">
        <is>
          <t>шт</t>
        </is>
      </c>
      <c r="C16" s="8" t="n">
        <v>0</v>
      </c>
      <c r="D16" s="8" t="n">
        <v>1</v>
      </c>
      <c r="E16" s="8" t="n">
        <v>2</v>
      </c>
      <c r="F16" s="8" t="n">
        <v>4</v>
      </c>
      <c r="G16" s="8" t="n">
        <v>10</v>
      </c>
      <c r="H16" s="6" t="inlineStr"/>
    </row>
    <row r="17">
      <c r="A17" t="inlineStr">
        <is>
          <t>Гостей на событии</t>
        </is>
      </c>
      <c r="B17" t="inlineStr">
        <is>
          <t>чел</t>
        </is>
      </c>
      <c r="C17" s="8" t="n">
        <v>0</v>
      </c>
      <c r="D17" s="8" t="n">
        <v>20</v>
      </c>
      <c r="E17" s="8" t="n">
        <v>35</v>
      </c>
      <c r="F17" s="8" t="n">
        <v>50</v>
      </c>
      <c r="G17" s="8" t="n">
        <v>50</v>
      </c>
      <c r="H17" s="6" t="inlineStr"/>
    </row>
    <row r="18">
      <c r="A18" t="inlineStr">
        <is>
          <t>Билет</t>
        </is>
      </c>
      <c r="B18" t="inlineStr">
        <is>
          <t>₽</t>
        </is>
      </c>
      <c r="C18" s="7" t="n">
        <v>1500</v>
      </c>
      <c r="D18" s="7" t="n">
        <v>1500</v>
      </c>
      <c r="E18" s="7" t="n">
        <v>2000</v>
      </c>
      <c r="F18" s="7" t="n">
        <v>2000</v>
      </c>
      <c r="G18" s="7" t="n">
        <v>2000</v>
      </c>
      <c r="H18" s="6" t="inlineStr"/>
    </row>
    <row r="19">
      <c r="A19" t="inlineStr">
        <is>
          <t>Себестоимость событий (вкл. 50% площадке)</t>
        </is>
      </c>
      <c r="B19" t="inlineStr">
        <is>
          <t>%</t>
        </is>
      </c>
      <c r="C19" s="10" t="n">
        <v>0.65</v>
      </c>
      <c r="D19" s="10" t="n">
        <v>0.65</v>
      </c>
      <c r="E19" s="10" t="n">
        <v>0.65</v>
      </c>
      <c r="F19" s="10" t="n">
        <v>0.65</v>
      </c>
      <c r="G19" s="10" t="n">
        <v>0.65</v>
      </c>
      <c r="H19" s="6" t="inlineStr"/>
    </row>
    <row r="20">
      <c r="A20" t="inlineStr">
        <is>
          <t>Доля участников, купивших мерч в месяц</t>
        </is>
      </c>
      <c r="B20" t="inlineStr">
        <is>
          <t>%</t>
        </is>
      </c>
      <c r="C20" s="10" t="n">
        <v>0.03</v>
      </c>
      <c r="D20" s="10" t="n">
        <v>0.03</v>
      </c>
      <c r="E20" s="10" t="n">
        <v>0.03</v>
      </c>
      <c r="F20" s="10" t="n">
        <v>0.03</v>
      </c>
      <c r="G20" s="10" t="n">
        <v>0.03</v>
      </c>
      <c r="H20" s="6" t="inlineStr"/>
    </row>
    <row r="21">
      <c r="A21" t="inlineStr">
        <is>
          <t>Доля MAU, купивших мерч в месяц</t>
        </is>
      </c>
      <c r="B21" t="inlineStr">
        <is>
          <t>%</t>
        </is>
      </c>
      <c r="C21" s="10" t="n">
        <v>0.001</v>
      </c>
      <c r="D21" s="10" t="n">
        <v>0.001</v>
      </c>
      <c r="E21" s="10" t="n">
        <v>0.001</v>
      </c>
      <c r="F21" s="10" t="n">
        <v>0.001</v>
      </c>
      <c r="G21" s="10" t="n">
        <v>0.001</v>
      </c>
      <c r="H21" s="6" t="inlineStr"/>
    </row>
    <row r="22">
      <c r="A22" t="inlineStr">
        <is>
          <t>Средний чек мерча</t>
        </is>
      </c>
      <c r="B22" t="inlineStr">
        <is>
          <t>₽</t>
        </is>
      </c>
      <c r="C22" s="7" t="n">
        <v>2500</v>
      </c>
      <c r="D22" s="7" t="n">
        <v>2500</v>
      </c>
      <c r="E22" s="7" t="n">
        <v>2500</v>
      </c>
      <c r="F22" s="7" t="n">
        <v>2500</v>
      </c>
      <c r="G22" s="7" t="n">
        <v>2500</v>
      </c>
      <c r="H22" s="6" t="inlineStr"/>
    </row>
    <row r="23">
      <c r="A23" t="inlineStr">
        <is>
          <t>Себестоимость мерча</t>
        </is>
      </c>
      <c r="B23" t="inlineStr">
        <is>
          <t>%</t>
        </is>
      </c>
      <c r="C23" s="10" t="n">
        <v>0.45</v>
      </c>
      <c r="D23" s="10" t="n">
        <v>0.45</v>
      </c>
      <c r="E23" s="10" t="n">
        <v>0.45</v>
      </c>
      <c r="F23" s="10" t="n">
        <v>0.45</v>
      </c>
      <c r="G23" s="10" t="n">
        <v>0.45</v>
      </c>
      <c r="H23" s="6" t="inlineStr"/>
    </row>
    <row r="24">
      <c r="A24" t="inlineStr">
        <is>
          <t>Разборов ЦФА в год (80 000 ₽)</t>
        </is>
      </c>
      <c r="B24" t="inlineStr">
        <is>
          <t>шт</t>
        </is>
      </c>
      <c r="C24" s="8" t="n">
        <v>1</v>
      </c>
      <c r="D24" s="8" t="n">
        <v>2</v>
      </c>
      <c r="E24" s="8" t="n">
        <v>4</v>
      </c>
      <c r="F24" s="8" t="n">
        <v>6</v>
      </c>
      <c r="G24" s="8" t="n">
        <v>10</v>
      </c>
      <c r="H24" s="6" t="inlineStr">
        <is>
          <t>личная экспертиза, отдельный контур</t>
        </is>
      </c>
    </row>
    <row r="25">
      <c r="A25" t="inlineStr">
        <is>
          <t>Сборок выпуска в год (325 000 ₽)</t>
        </is>
      </c>
      <c r="B25" t="inlineStr">
        <is>
          <t>шт</t>
        </is>
      </c>
      <c r="C25" s="8" t="n">
        <v>0</v>
      </c>
      <c r="D25" s="8" t="n">
        <v>1</v>
      </c>
      <c r="E25" s="8" t="n">
        <v>2</v>
      </c>
      <c r="F25" s="8" t="n">
        <v>3</v>
      </c>
      <c r="G25" s="8" t="n">
        <v>5</v>
      </c>
      <c r="H25" s="6" t="inlineStr">
        <is>
          <t>середина 250–400 тыс.</t>
        </is>
      </c>
    </row>
    <row r="26">
      <c r="A26" t="inlineStr">
        <is>
          <t>Подписчиков YuRichRWA</t>
        </is>
      </c>
      <c r="B26" t="inlineStr">
        <is>
          <t>чел</t>
        </is>
      </c>
      <c r="C26" s="8" t="n">
        <v>1000</v>
      </c>
      <c r="D26" s="8" t="n">
        <v>2000</v>
      </c>
      <c r="E26" s="8" t="n">
        <v>5000</v>
      </c>
      <c r="F26" s="8" t="n">
        <v>10000</v>
      </c>
      <c r="G26" s="8" t="n">
        <v>20000</v>
      </c>
      <c r="H26" s="6" t="inlineStr"/>
    </row>
    <row r="27">
      <c r="A27" t="inlineStr">
        <is>
          <t>Охват поста YuRichRWA</t>
        </is>
      </c>
      <c r="B27" t="inlineStr">
        <is>
          <t>%</t>
        </is>
      </c>
      <c r="C27" s="10" t="n">
        <v>0.3</v>
      </c>
      <c r="D27" s="10" t="n">
        <v>0.3</v>
      </c>
      <c r="E27" s="10" t="n">
        <v>0.3</v>
      </c>
      <c r="F27" s="10" t="n">
        <v>0.3</v>
      </c>
      <c r="G27" s="10" t="n">
        <v>0.3</v>
      </c>
      <c r="H27" s="6" t="inlineStr"/>
    </row>
    <row r="28">
      <c r="A28" t="inlineStr">
        <is>
          <t>CPM ниши RWA</t>
        </is>
      </c>
      <c r="B28" t="inlineStr">
        <is>
          <t>₽</t>
        </is>
      </c>
      <c r="C28" s="7" t="n">
        <v>1500</v>
      </c>
      <c r="D28" s="7" t="n">
        <v>1500</v>
      </c>
      <c r="E28" s="7" t="n">
        <v>1500</v>
      </c>
      <c r="F28" s="7" t="n">
        <v>1500</v>
      </c>
      <c r="G28" s="7" t="n">
        <v>1500</v>
      </c>
      <c r="H28" s="6" t="inlineStr"/>
    </row>
    <row r="29">
      <c r="A29" t="inlineStr">
        <is>
          <t>Рекламных постов YuRichRWA в месяц</t>
        </is>
      </c>
      <c r="B29" t="inlineStr">
        <is>
          <t>шт</t>
        </is>
      </c>
      <c r="C29" s="8" t="n">
        <v>0</v>
      </c>
      <c r="D29" s="8" t="n">
        <v>1</v>
      </c>
      <c r="E29" s="8" t="n">
        <v>3</v>
      </c>
      <c r="F29" s="8" t="n">
        <v>5</v>
      </c>
      <c r="G29" s="8" t="n">
        <v>8</v>
      </c>
      <c r="H29" s="6" t="inlineStr"/>
    </row>
    <row r="30">
      <c r="A30" t="inlineStr">
        <is>
          <t>Сервер, домены, сервисы</t>
        </is>
      </c>
      <c r="B30" t="inlineStr">
        <is>
          <t>₽/мес</t>
        </is>
      </c>
      <c r="C30" s="9" t="n">
        <v>1500</v>
      </c>
      <c r="D30" s="9" t="n">
        <v>2500</v>
      </c>
      <c r="E30" s="9" t="n">
        <v>6000</v>
      </c>
      <c r="F30" s="9" t="n">
        <v>15000</v>
      </c>
      <c r="G30" s="9" t="n">
        <v>40000</v>
      </c>
      <c r="H30" s="6" t="inlineStr"/>
    </row>
    <row r="31">
      <c r="A31" t="inlineStr">
        <is>
          <t>AI (Кира) на 1 MAU</t>
        </is>
      </c>
      <c r="B31" t="inlineStr">
        <is>
          <t>₽</t>
        </is>
      </c>
      <c r="C31" s="7" t="n">
        <v>0</v>
      </c>
      <c r="D31" s="7" t="n">
        <v>0</v>
      </c>
      <c r="E31" s="7" t="n">
        <v>3</v>
      </c>
      <c r="F31" s="7" t="n">
        <v>3</v>
      </c>
      <c r="G31" s="7" t="n">
        <v>3</v>
      </c>
      <c r="H31" s="6" t="inlineStr">
        <is>
          <t>с S3</t>
        </is>
      </c>
    </row>
    <row r="32">
      <c r="A32" t="inlineStr">
        <is>
          <t>Команда</t>
        </is>
      </c>
      <c r="B32" t="inlineStr">
        <is>
          <t>₽/мес</t>
        </is>
      </c>
      <c r="C32" s="9" t="n">
        <v>0</v>
      </c>
      <c r="D32" s="9" t="n">
        <v>30000</v>
      </c>
      <c r="E32" s="9" t="n">
        <v>140000</v>
      </c>
      <c r="F32" s="9" t="n">
        <v>400000</v>
      </c>
      <c r="G32" s="9" t="n">
        <v>1200000</v>
      </c>
      <c r="H32" s="6" t="inlineStr">
        <is>
          <t>S1 — всё сам</t>
        </is>
      </c>
    </row>
    <row r="33">
      <c r="A33" t="inlineStr">
        <is>
          <t>Маркетинг: посевы, QR, печать</t>
        </is>
      </c>
      <c r="B33" t="inlineStr">
        <is>
          <t>₽/мес</t>
        </is>
      </c>
      <c r="C33" s="9" t="n">
        <v>10000</v>
      </c>
      <c r="D33" s="9" t="n">
        <v>30000</v>
      </c>
      <c r="E33" s="9" t="n">
        <v>100000</v>
      </c>
      <c r="F33" s="9" t="n">
        <v>200000</v>
      </c>
      <c r="G33" s="9" t="n">
        <v>600000</v>
      </c>
      <c r="H33" s="6" t="inlineStr"/>
    </row>
    <row r="34">
      <c r="A34" t="inlineStr">
        <is>
          <t>Бухгалтерия и юрист</t>
        </is>
      </c>
      <c r="B34" t="inlineStr">
        <is>
          <t>₽/мес</t>
        </is>
      </c>
      <c r="C34" s="9" t="n">
        <v>5000</v>
      </c>
      <c r="D34" s="9" t="n">
        <v>10000</v>
      </c>
      <c r="E34" s="9" t="n">
        <v>20000</v>
      </c>
      <c r="F34" s="9" t="n">
        <v>40000</v>
      </c>
      <c r="G34" s="9" t="n">
        <v>100000</v>
      </c>
      <c r="H34" s="6" t="inlineStr"/>
    </row>
    <row r="35">
      <c r="A35" t="inlineStr">
        <is>
          <t>Товарный знак, ПО, БД (разово / 12)</t>
        </is>
      </c>
      <c r="B35" t="inlineStr">
        <is>
          <t>₽/мес</t>
        </is>
      </c>
      <c r="C35" s="9" t="n">
        <v>12500</v>
      </c>
      <c r="D35" s="9" t="n">
        <v>12500</v>
      </c>
      <c r="E35" s="9" t="n">
        <v>0</v>
      </c>
      <c r="F35" s="9" t="n">
        <v>0</v>
      </c>
      <c r="G35" s="9" t="n">
        <v>25000</v>
      </c>
      <c r="H35" s="6" t="inlineStr"/>
    </row>
    <row r="36">
      <c r="A36" t="inlineStr">
        <is>
          <t>Часы на контент</t>
        </is>
      </c>
      <c r="B36" t="inlineStr">
        <is>
          <t>ч</t>
        </is>
      </c>
      <c r="C36" s="8" t="n">
        <v>20</v>
      </c>
      <c r="D36" s="8" t="n">
        <v>30</v>
      </c>
      <c r="E36" s="8" t="n">
        <v>60</v>
      </c>
      <c r="F36" s="8" t="n">
        <v>100</v>
      </c>
      <c r="G36" s="8" t="n">
        <v>250</v>
      </c>
      <c r="H36" s="6" t="inlineStr"/>
    </row>
    <row r="37">
      <c r="A37" s="5" t="inlineStr">
        <is>
          <t>CITY CODE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t="inlineStr">
        <is>
          <t>Спрос на членство</t>
        </is>
      </c>
      <c r="B38" t="inlineStr">
        <is>
          <t>чел</t>
        </is>
      </c>
      <c r="C38" s="16">
        <f>C7*C9+C10</f>
        <v/>
      </c>
      <c r="D38" s="16">
        <f>D7*D9+D10</f>
        <v/>
      </c>
      <c r="E38" s="16">
        <f>E7*E9+E10</f>
        <v/>
      </c>
      <c r="F38" s="16">
        <f>F7*F9+F10</f>
        <v/>
      </c>
      <c r="G38" s="16">
        <f>G7*G9+G10</f>
        <v/>
      </c>
    </row>
    <row r="39">
      <c r="A39" t="inlineStr">
        <is>
          <t>Потолок по партнёрам (15 на точку)</t>
        </is>
      </c>
      <c r="B39" t="inlineStr">
        <is>
          <t>чел</t>
        </is>
      </c>
      <c r="C39" s="16">
        <f>C6*'Расчёт'!$D$37</f>
        <v/>
      </c>
      <c r="D39" s="16">
        <f>D6*'Расчёт'!$D$37</f>
        <v/>
      </c>
      <c r="E39" s="16">
        <f>E6*'Расчёт'!$D$37</f>
        <v/>
      </c>
      <c r="F39" s="16">
        <f>F6*'Расчёт'!$D$37</f>
        <v/>
      </c>
      <c r="G39" s="16">
        <f>G6*'Расчёт'!$D$37</f>
        <v/>
      </c>
    </row>
    <row r="40">
      <c r="A40" s="17" t="inlineStr">
        <is>
          <t>Участников</t>
        </is>
      </c>
      <c r="B40" t="inlineStr">
        <is>
          <t>чел</t>
        </is>
      </c>
      <c r="C40" s="13">
        <f>ROUND(MIN(C38,C39),0)</f>
        <v/>
      </c>
      <c r="D40" s="13">
        <f>ROUND(MIN(D38,D39),0)</f>
        <v/>
      </c>
      <c r="E40" s="13">
        <f>ROUND(MIN(E38,E39),0)</f>
        <v/>
      </c>
      <c r="F40" s="13">
        <f>ROUND(MIN(F38,F39),0)</f>
        <v/>
      </c>
      <c r="G40" s="13">
        <f>ROUND(MIN(G38,G39),0)</f>
        <v/>
      </c>
    </row>
    <row r="41">
      <c r="A41" t="inlineStr">
        <is>
          <t xml:space="preserve">  из них «Основатели»</t>
        </is>
      </c>
      <c r="B41" t="inlineStr">
        <is>
          <t>чел</t>
        </is>
      </c>
      <c r="C41" s="16">
        <f>MIN(C8,C40)</f>
        <v/>
      </c>
      <c r="D41" s="16">
        <f>MIN(D8,D40)</f>
        <v/>
      </c>
      <c r="E41" s="16">
        <f>MIN(E8,E40)</f>
        <v/>
      </c>
      <c r="F41" s="16">
        <f>MIN(F8,F40)</f>
        <v/>
      </c>
      <c r="G41" s="16">
        <f>MIN(G8,G40)</f>
        <v/>
      </c>
    </row>
    <row r="42">
      <c r="A42" t="inlineStr">
        <is>
          <t xml:space="preserve">  из них Basic</t>
        </is>
      </c>
      <c r="B42" t="inlineStr">
        <is>
          <t>чел</t>
        </is>
      </c>
      <c r="C42" s="16">
        <f>C40-C41</f>
        <v/>
      </c>
      <c r="D42" s="16">
        <f>D40-D41</f>
        <v/>
      </c>
      <c r="E42" s="16">
        <f>E40-E41</f>
        <v/>
      </c>
      <c r="F42" s="16">
        <f>F40-F41</f>
        <v/>
      </c>
      <c r="G42" s="16">
        <f>G40-G41</f>
        <v/>
      </c>
    </row>
    <row r="43">
      <c r="A43" t="inlineStr">
        <is>
          <t>Выручка членства</t>
        </is>
      </c>
      <c r="B43" t="inlineStr">
        <is>
          <t>₽/мес</t>
        </is>
      </c>
      <c r="C43" s="18">
        <f>(C41*'Параметры'!$D$4+C42*'Параметры'!$D$3)/12</f>
        <v/>
      </c>
      <c r="D43" s="18">
        <f>(D41*'Параметры'!$D$4+D42*'Параметры'!$D$3)/12</f>
        <v/>
      </c>
      <c r="E43" s="18">
        <f>(E41*'Параметры'!$D$4+E42*'Параметры'!$D$3)/12</f>
        <v/>
      </c>
      <c r="F43" s="18">
        <f>(F41*'Параметры'!$D$4+F42*'Параметры'!$D$3)/12</f>
        <v/>
      </c>
      <c r="G43" s="18">
        <f>(G41*'Параметры'!$D$4+G42*'Параметры'!$D$3)/12</f>
        <v/>
      </c>
    </row>
    <row r="44">
      <c r="A44" t="inlineStr">
        <is>
          <t>Оборот клуба у партнёров (не наш доход)</t>
        </is>
      </c>
      <c r="B44" t="inlineStr">
        <is>
          <t>₽/мес</t>
        </is>
      </c>
      <c r="C44" s="18">
        <f>C40*'Параметры'!$D$11</f>
        <v/>
      </c>
      <c r="D44" s="18">
        <f>D40*'Параметры'!$D$11</f>
        <v/>
      </c>
      <c r="E44" s="18">
        <f>E40*'Параметры'!$D$11</f>
        <v/>
      </c>
      <c r="F44" s="18">
        <f>F40*'Параметры'!$D$11</f>
        <v/>
      </c>
      <c r="G44" s="18">
        <f>G40*'Параметры'!$D$11</f>
        <v/>
      </c>
    </row>
    <row r="45">
      <c r="A45" t="inlineStr">
        <is>
          <t xml:space="preserve">  на одного партнёра</t>
        </is>
      </c>
      <c r="B45" t="inlineStr">
        <is>
          <t>₽/мес</t>
        </is>
      </c>
      <c r="C45" s="18">
        <f>C44/C6</f>
        <v/>
      </c>
      <c r="D45" s="18">
        <f>D44/D6</f>
        <v/>
      </c>
      <c r="E45" s="18">
        <f>E44/E6</f>
        <v/>
      </c>
      <c r="F45" s="18">
        <f>F44/F6</f>
        <v/>
      </c>
      <c r="G45" s="18">
        <f>G44/G6</f>
        <v/>
      </c>
    </row>
    <row r="46">
      <c r="A46" s="5" t="inlineStr">
        <is>
          <t>ДРУГИЕ ДОХОДЫ</t>
        </is>
      </c>
      <c r="B46" s="4" t="n"/>
      <c r="C46" s="4" t="n"/>
      <c r="D46" s="4" t="n"/>
      <c r="E46" s="4" t="n"/>
      <c r="F46" s="4" t="n"/>
      <c r="G46" s="4" t="n"/>
      <c r="H46" s="4" t="n"/>
    </row>
    <row r="47">
      <c r="A47" t="inlineStr">
        <is>
          <t>Взнос партнёров v2.0 (если решишь)</t>
        </is>
      </c>
      <c r="B47" t="inlineStr">
        <is>
          <t>₽/мес</t>
        </is>
      </c>
      <c r="C47" s="18">
        <f>C6*C11</f>
        <v/>
      </c>
      <c r="D47" s="18">
        <f>D6*D11</f>
        <v/>
      </c>
      <c r="E47" s="18">
        <f>E6*E11</f>
        <v/>
      </c>
      <c r="F47" s="18">
        <f>F6*F11</f>
        <v/>
      </c>
      <c r="G47" s="18">
        <f>G6*G11</f>
        <v/>
      </c>
    </row>
    <row r="48">
      <c r="A48" t="inlineStr">
        <is>
          <t>Средний чек размещения</t>
        </is>
      </c>
      <c r="B48" t="inlineStr">
        <is>
          <t>₽</t>
        </is>
      </c>
      <c r="C48" s="19">
        <f>MAX('Параметры'!$D$45,ROUND(C13*'Параметры'!$D$44/1000,-2))*(1-C14*'Параметры'!$D$51)</f>
        <v/>
      </c>
      <c r="D48" s="19">
        <f>MAX('Параметры'!$D$45,ROUND(D13*'Параметры'!$D$44/1000,-2))*(1-D14*'Параметры'!$D$51)</f>
        <v/>
      </c>
      <c r="E48" s="19">
        <f>MAX('Параметры'!$D$45,ROUND(E13*'Параметры'!$D$44/1000,-2))*(1-E14*'Параметры'!$D$51)</f>
        <v/>
      </c>
      <c r="F48" s="19">
        <f>MAX('Параметры'!$D$45,ROUND(F13*'Параметры'!$D$44/1000,-2))*(1-F14*'Параметры'!$D$51)</f>
        <v/>
      </c>
      <c r="G48" s="19">
        <f>MAX('Параметры'!$D$45,ROUND(G13*'Параметры'!$D$44/1000,-2))*(1-G14*'Параметры'!$D$51)</f>
        <v/>
      </c>
    </row>
    <row r="49">
      <c r="A49" t="inlineStr">
        <is>
          <t>Реклама SAI</t>
        </is>
      </c>
      <c r="B49" t="inlineStr">
        <is>
          <t>₽/мес</t>
        </is>
      </c>
      <c r="C49" s="18">
        <f>C12*C48</f>
        <v/>
      </c>
      <c r="D49" s="18">
        <f>D12*D48</f>
        <v/>
      </c>
      <c r="E49" s="18">
        <f>E12*E48</f>
        <v/>
      </c>
      <c r="F49" s="18">
        <f>F12*F48</f>
        <v/>
      </c>
      <c r="G49" s="18">
        <f>G12*G48</f>
        <v/>
      </c>
    </row>
    <row r="50">
      <c r="A50" t="inlineStr">
        <is>
          <t>Съёмки</t>
        </is>
      </c>
      <c r="B50" t="inlineStr">
        <is>
          <t>₽/мес</t>
        </is>
      </c>
      <c r="C50" s="18">
        <f>C15*'Параметры'!$D$52</f>
        <v/>
      </c>
      <c r="D50" s="18">
        <f>D15*'Параметры'!$D$52</f>
        <v/>
      </c>
      <c r="E50" s="18">
        <f>E15*'Параметры'!$D$52</f>
        <v/>
      </c>
      <c r="F50" s="18">
        <f>F15*'Параметры'!$D$52</f>
        <v/>
      </c>
      <c r="G50" s="18">
        <f>G15*'Параметры'!$D$52</f>
        <v/>
      </c>
    </row>
    <row r="51">
      <c r="A51" t="inlineStr">
        <is>
          <t>События</t>
        </is>
      </c>
      <c r="B51" t="inlineStr">
        <is>
          <t>₽/мес</t>
        </is>
      </c>
      <c r="C51" s="18">
        <f>C16*C17*C18</f>
        <v/>
      </c>
      <c r="D51" s="18">
        <f>D16*D17*D18</f>
        <v/>
      </c>
      <c r="E51" s="18">
        <f>E16*E17*E18</f>
        <v/>
      </c>
      <c r="F51" s="18">
        <f>F16*F17*F18</f>
        <v/>
      </c>
      <c r="G51" s="18">
        <f>G16*G17*G18</f>
        <v/>
      </c>
    </row>
    <row r="52">
      <c r="A52" t="inlineStr">
        <is>
          <t>Мерч</t>
        </is>
      </c>
      <c r="B52" t="inlineStr">
        <is>
          <t>₽/мес</t>
        </is>
      </c>
      <c r="C52" s="18">
        <f>(C40*C20+C7*C21)*C22</f>
        <v/>
      </c>
      <c r="D52" s="18">
        <f>(D40*D20+D7*D21)*D22</f>
        <v/>
      </c>
      <c r="E52" s="18">
        <f>(E40*E20+E7*E21)*E22</f>
        <v/>
      </c>
      <c r="F52" s="18">
        <f>(F40*F20+F7*F21)*F22</f>
        <v/>
      </c>
      <c r="G52" s="18">
        <f>(G40*G20+G7*G21)*G22</f>
        <v/>
      </c>
    </row>
    <row r="53">
      <c r="A53" t="inlineStr">
        <is>
          <t>ЦФА-услуги (среднемесячно)</t>
        </is>
      </c>
      <c r="B53" t="inlineStr">
        <is>
          <t>₽/мес</t>
        </is>
      </c>
      <c r="C53" s="18">
        <f>(C24*80000+C25*325000)/12</f>
        <v/>
      </c>
      <c r="D53" s="18">
        <f>(D24*80000+D25*325000)/12</f>
        <v/>
      </c>
      <c r="E53" s="18">
        <f>(E24*80000+E25*325000)/12</f>
        <v/>
      </c>
      <c r="F53" s="18">
        <f>(F24*80000+F25*325000)/12</f>
        <v/>
      </c>
      <c r="G53" s="18">
        <f>(G24*80000+G25*325000)/12</f>
        <v/>
      </c>
    </row>
    <row r="54">
      <c r="A54" t="inlineStr">
        <is>
          <t>Реклама YuRichRWA</t>
        </is>
      </c>
      <c r="B54" t="inlineStr">
        <is>
          <t>₽/мес</t>
        </is>
      </c>
      <c r="C54" s="18">
        <f>C26*C27*C28/1000*C29</f>
        <v/>
      </c>
      <c r="D54" s="18">
        <f>D26*D27*D28/1000*D29</f>
        <v/>
      </c>
      <c r="E54" s="18">
        <f>E26*E27*E28/1000*E29</f>
        <v/>
      </c>
      <c r="F54" s="18">
        <f>F26*F27*F28/1000*F29</f>
        <v/>
      </c>
      <c r="G54" s="18">
        <f>G26*G27*G28/1000*G29</f>
        <v/>
      </c>
    </row>
    <row r="55">
      <c r="A55" s="17" t="inlineStr">
        <is>
          <t>ВСЯ ВЫРУЧКА</t>
        </is>
      </c>
      <c r="B55" t="inlineStr">
        <is>
          <t>₽/мес</t>
        </is>
      </c>
      <c r="C55" s="20">
        <f>C43+C47+C49+C50+C51+C52+C53+C54</f>
        <v/>
      </c>
      <c r="D55" s="20">
        <f>D43+D47+D49+D50+D51+D52+D53+D54</f>
        <v/>
      </c>
      <c r="E55" s="20">
        <f>E43+E47+E49+E50+E51+E52+E53+E54</f>
        <v/>
      </c>
      <c r="F55" s="20">
        <f>F43+F47+F49+F50+F51+F52+F53+F54</f>
        <v/>
      </c>
      <c r="G55" s="20">
        <f>G43+G47+G49+G50+G51+G52+G53+G54</f>
        <v/>
      </c>
    </row>
    <row r="56">
      <c r="A56" t="inlineStr">
        <is>
          <t>Выручка за год</t>
        </is>
      </c>
      <c r="B56" t="inlineStr">
        <is>
          <t>₽/год</t>
        </is>
      </c>
      <c r="C56" s="18">
        <f>C55*12</f>
        <v/>
      </c>
      <c r="D56" s="18">
        <f>D55*12</f>
        <v/>
      </c>
      <c r="E56" s="18">
        <f>E55*12</f>
        <v/>
      </c>
      <c r="F56" s="18">
        <f>F55*12</f>
        <v/>
      </c>
      <c r="G56" s="18">
        <f>G55*12</f>
        <v/>
      </c>
    </row>
    <row r="57">
      <c r="A57" s="5" t="inlineStr">
        <is>
          <t>РАСХОДЫ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t="inlineStr">
        <is>
          <t>AI (Кира)</t>
        </is>
      </c>
      <c r="B58" t="inlineStr">
        <is>
          <t>₽/мес</t>
        </is>
      </c>
      <c r="C58" s="18">
        <f>C7*C31</f>
        <v/>
      </c>
      <c r="D58" s="18">
        <f>D7*D31</f>
        <v/>
      </c>
      <c r="E58" s="18">
        <f>E7*E31</f>
        <v/>
      </c>
      <c r="F58" s="18">
        <f>F7*F31</f>
        <v/>
      </c>
      <c r="G58" s="18">
        <f>G7*G31</f>
        <v/>
      </c>
    </row>
    <row r="59">
      <c r="A59" t="inlineStr">
        <is>
          <t>Приём платежей</t>
        </is>
      </c>
      <c r="B59" t="inlineStr">
        <is>
          <t>₽/мес</t>
        </is>
      </c>
      <c r="C59" s="18">
        <f>'Расчёт'!$D$8*(C43+C51+C52)</f>
        <v/>
      </c>
      <c r="D59" s="18">
        <f>'Расчёт'!$D$8*(D43+D51+D52)</f>
        <v/>
      </c>
      <c r="E59" s="18">
        <f>'Расчёт'!$D$8*(E43+E51+E52)</f>
        <v/>
      </c>
      <c r="F59" s="18">
        <f>'Расчёт'!$D$8*(F43+F51+F52)</f>
        <v/>
      </c>
      <c r="G59" s="18">
        <f>'Расчёт'!$D$8*(G43+G51+G52)</f>
        <v/>
      </c>
    </row>
    <row r="60">
      <c r="A60" t="inlineStr">
        <is>
          <t>Себестоимость событий, мерча, съёмок</t>
        </is>
      </c>
      <c r="B60" t="inlineStr">
        <is>
          <t>₽/мес</t>
        </is>
      </c>
      <c r="C60" s="18">
        <f>C51*C19+C52*C23+C50*'Параметры'!$D$54</f>
        <v/>
      </c>
      <c r="D60" s="18">
        <f>D51*D19+D52*D23+D50*'Параметры'!$D$54</f>
        <v/>
      </c>
      <c r="E60" s="18">
        <f>E51*E19+E52*E23+E50*'Параметры'!$D$54</f>
        <v/>
      </c>
      <c r="F60" s="18">
        <f>F51*F19+F52*F23+F50*'Параметры'!$D$54</f>
        <v/>
      </c>
      <c r="G60" s="18">
        <f>G51*G19+G52*G23+G50*'Параметры'!$D$54</f>
        <v/>
      </c>
    </row>
    <row r="61">
      <c r="A61" t="inlineStr">
        <is>
          <t>Сбор 3% с рекламы</t>
        </is>
      </c>
      <c r="B61" t="inlineStr">
        <is>
          <t>₽/мес</t>
        </is>
      </c>
      <c r="C61" s="18">
        <f>'Параметры'!$D$33*(C49+C54)</f>
        <v/>
      </c>
      <c r="D61" s="18">
        <f>'Параметры'!$D$33*(D49+D54)</f>
        <v/>
      </c>
      <c r="E61" s="18">
        <f>'Параметры'!$D$33*(E49+E54)</f>
        <v/>
      </c>
      <c r="F61" s="18">
        <f>'Параметры'!$D$33*(F49+F54)</f>
        <v/>
      </c>
      <c r="G61" s="18">
        <f>'Параметры'!$D$33*(G49+G54)</f>
        <v/>
      </c>
    </row>
    <row r="62">
      <c r="A62" t="inlineStr">
        <is>
          <t>Взносы ИП за себя</t>
        </is>
      </c>
      <c r="B62" t="inlineStr">
        <is>
          <t>₽/мес</t>
        </is>
      </c>
      <c r="C62" s="18">
        <f>('Параметры'!$D$26+MAX(0,C56-'Параметры'!$D$28)*'Параметры'!$D$27)/12</f>
        <v/>
      </c>
      <c r="D62" s="18">
        <f>('Параметры'!$D$26+MAX(0,D56-'Параметры'!$D$28)*'Параметры'!$D$27)/12</f>
        <v/>
      </c>
      <c r="E62" s="18">
        <f>('Параметры'!$D$26+MAX(0,E56-'Параметры'!$D$28)*'Параметры'!$D$27)/12</f>
        <v/>
      </c>
      <c r="F62" s="18">
        <f>('Параметры'!$D$26+MAX(0,F56-'Параметры'!$D$28)*'Параметры'!$D$27)/12</f>
        <v/>
      </c>
      <c r="G62" s="18">
        <f>('Параметры'!$D$26+MAX(0,G56-'Параметры'!$D$28)*'Параметры'!$D$27)/12</f>
        <v/>
      </c>
    </row>
    <row r="63">
      <c r="A63" t="inlineStr">
        <is>
          <t>УСН 6% минус взносы</t>
        </is>
      </c>
      <c r="B63" t="inlineStr">
        <is>
          <t>₽/мес</t>
        </is>
      </c>
      <c r="C63" s="18">
        <f>MAX(0,C55*'Параметры'!$D$25-C62)</f>
        <v/>
      </c>
      <c r="D63" s="18">
        <f>MAX(0,D55*'Параметры'!$D$25-D62)</f>
        <v/>
      </c>
      <c r="E63" s="18">
        <f>MAX(0,E55*'Параметры'!$D$25-E62)</f>
        <v/>
      </c>
      <c r="F63" s="18">
        <f>MAX(0,F55*'Параметры'!$D$25-F62)</f>
        <v/>
      </c>
      <c r="G63" s="18">
        <f>MAX(0,G55*'Параметры'!$D$25-G62)</f>
        <v/>
      </c>
    </row>
    <row r="64">
      <c r="A64" s="17" t="inlineStr">
        <is>
          <t>ВСЕ РАСХОДЫ</t>
        </is>
      </c>
      <c r="B64" t="inlineStr">
        <is>
          <t>₽/мес</t>
        </is>
      </c>
      <c r="C64" s="20">
        <f>C30+C58+C32+C33+C34+C35+C62+C59+C60+C61+C63</f>
        <v/>
      </c>
      <c r="D64" s="20">
        <f>D30+D58+D32+D33+D34+D35+D62+D59+D60+D61+D63</f>
        <v/>
      </c>
      <c r="E64" s="20">
        <f>E30+E58+E32+E33+E34+E35+E62+E59+E60+E61+E63</f>
        <v/>
      </c>
      <c r="F64" s="20">
        <f>F30+F58+F32+F33+F34+F35+F62+F59+F60+F61+F63</f>
        <v/>
      </c>
      <c r="G64" s="20">
        <f>G30+G58+G32+G33+G34+G35+G62+G59+G60+G61+G63</f>
        <v/>
      </c>
    </row>
    <row r="65">
      <c r="A65" s="5" t="inlineStr">
        <is>
          <t>РЕЗУЛЬТАТ</t>
        </is>
      </c>
      <c r="B65" s="4" t="n"/>
      <c r="C65" s="4" t="n"/>
      <c r="D65" s="4" t="n"/>
      <c r="E65" s="4" t="n"/>
      <c r="F65" s="4" t="n"/>
      <c r="G65" s="4" t="n"/>
      <c r="H65" s="4" t="n"/>
    </row>
    <row r="66">
      <c r="A66" s="17" t="inlineStr">
        <is>
          <t>Прибыль в месяц (без зарплаты основателя)</t>
        </is>
      </c>
      <c r="B66" t="inlineStr">
        <is>
          <t>₽/мес</t>
        </is>
      </c>
      <c r="C66" s="20">
        <f>C55-C64</f>
        <v/>
      </c>
      <c r="D66" s="20">
        <f>D55-D64</f>
        <v/>
      </c>
      <c r="E66" s="20">
        <f>E55-E64</f>
        <v/>
      </c>
      <c r="F66" s="20">
        <f>F55-F64</f>
        <v/>
      </c>
      <c r="G66" s="20">
        <f>G55-G64</f>
        <v/>
      </c>
    </row>
    <row r="67">
      <c r="A67" t="inlineStr">
        <is>
          <t>Прибыль за год</t>
        </is>
      </c>
      <c r="B67" t="inlineStr">
        <is>
          <t>₽/год</t>
        </is>
      </c>
      <c r="C67" s="18">
        <f>C66*12</f>
        <v/>
      </c>
      <c r="D67" s="18">
        <f>D66*12</f>
        <v/>
      </c>
      <c r="E67" s="18">
        <f>E66*12</f>
        <v/>
      </c>
      <c r="F67" s="18">
        <f>F66*12</f>
        <v/>
      </c>
      <c r="G67" s="18">
        <f>G66*12</f>
        <v/>
      </c>
    </row>
    <row r="68">
      <c r="A68" s="17" t="inlineStr">
        <is>
          <t>Прибыль города без ЦФА-услуг</t>
        </is>
      </c>
      <c r="B68" t="inlineStr">
        <is>
          <t>₽/мес</t>
        </is>
      </c>
      <c r="C68" s="20">
        <f>C66-C53*(1-'Параметры'!$D$25)</f>
        <v/>
      </c>
      <c r="D68" s="20">
        <f>D66-D53*(1-'Параметры'!$D$25)</f>
        <v/>
      </c>
      <c r="E68" s="20">
        <f>E66-E53*(1-'Параметры'!$D$25)</f>
        <v/>
      </c>
      <c r="F68" s="20">
        <f>F66-F53*(1-'Параметры'!$D$25)</f>
        <v/>
      </c>
      <c r="G68" s="20">
        <f>G66-G53*(1-'Параметры'!$D$25)</f>
        <v/>
      </c>
    </row>
    <row r="69">
      <c r="A69" t="inlineStr">
        <is>
          <t xml:space="preserve">  …и без взноса партнёров (строго v1.0)</t>
        </is>
      </c>
      <c r="B69" t="inlineStr">
        <is>
          <t>₽/мес</t>
        </is>
      </c>
      <c r="C69" s="18">
        <f>C68-C47*(1-'Параметры'!$D$25)</f>
        <v/>
      </c>
      <c r="D69" s="18">
        <f>D68-D47*(1-'Параметры'!$D$25)</f>
        <v/>
      </c>
      <c r="E69" s="18">
        <f>E68-E47*(1-'Параметры'!$D$25)</f>
        <v/>
      </c>
      <c r="F69" s="18">
        <f>F68-F47*(1-'Параметры'!$D$25)</f>
        <v/>
      </c>
      <c r="G69" s="18">
        <f>G68-G47*(1-'Параметры'!$D$25)</f>
        <v/>
      </c>
    </row>
    <row r="70">
      <c r="A70" t="inlineStr">
        <is>
          <t>Часов работы в месяц</t>
        </is>
      </c>
      <c r="B70" t="inlineStr">
        <is>
          <t>ч</t>
        </is>
      </c>
      <c r="C70" s="16">
        <f>(C7*0.02+C40*0.1)*0.25+C6*3+C7*0.01*0.2+C36+C16*12</f>
        <v/>
      </c>
      <c r="D70" s="16">
        <f>(D7*0.02+D40*0.1)*0.25+D6*3+D7*0.01*0.2+D36+D16*12</f>
        <v/>
      </c>
      <c r="E70" s="16">
        <f>(E7*0.02+E40*0.1)*0.25+E6*3+E7*0.01*0.2+E36+E16*12</f>
        <v/>
      </c>
      <c r="F70" s="16">
        <f>(F7*0.02+F40*0.1)*0.25+F6*3+F7*0.01*0.2+F36+F16*12</f>
        <v/>
      </c>
      <c r="G70" s="16">
        <f>(G7*0.02+G40*0.1)*0.25+G6*3+G7*0.01*0.2+G36+G16*12</f>
        <v/>
      </c>
    </row>
    <row r="71">
      <c r="A71" s="17" t="inlineStr">
        <is>
          <t>Людей на полный день (160 ч)</t>
        </is>
      </c>
      <c r="B71" t="inlineStr">
        <is>
          <t>чел</t>
        </is>
      </c>
      <c r="C71" s="21">
        <f>C70/160</f>
        <v/>
      </c>
      <c r="D71" s="21">
        <f>D70/160</f>
        <v/>
      </c>
      <c r="E71" s="21">
        <f>E70/160</f>
        <v/>
      </c>
      <c r="F71" s="21">
        <f>F70/160</f>
        <v/>
      </c>
      <c r="G71" s="21">
        <f>G70/160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2" t="inlineStr">
        <is>
          <t>Дней до порога XP — прогон типовых людей на НАСТОЯЩЕМ коде бота (economics/xp_simulator.py)</t>
        </is>
      </c>
    </row>
    <row r="3">
      <c r="A3" s="17" t="inlineStr">
        <is>
          <t>v1.1 — после патча бота</t>
        </is>
      </c>
    </row>
    <row r="4">
      <c r="A4" s="3" t="inlineStr">
        <is>
          <t>Профиль</t>
        </is>
      </c>
      <c r="B4" s="3" t="inlineStr">
        <is>
          <t>100 · Житель</t>
        </is>
      </c>
      <c r="C4" s="3" t="inlineStr">
        <is>
          <t>300 · Исследователь</t>
        </is>
      </c>
      <c r="D4" s="3" t="inlineStr">
        <is>
          <t>800 · Проводник</t>
        </is>
      </c>
      <c r="E4" s="3" t="inlineStr">
        <is>
          <t>2000 · Амбассадор</t>
        </is>
      </c>
      <c r="F4" s="3" t="inlineStr">
        <is>
          <t>4000 · Легенда города</t>
        </is>
      </c>
      <c r="G4" s="3" t="inlineStr">
        <is>
          <t>7000 · City Code</t>
        </is>
      </c>
    </row>
    <row r="5">
      <c r="A5" t="inlineStr">
        <is>
          <t>Турист / редкий гость</t>
        </is>
      </c>
      <c r="B5" t="n">
        <v>119</v>
      </c>
      <c r="C5" t="n">
        <v>399</v>
      </c>
      <c r="D5" t="n">
        <v>1099</v>
      </c>
      <c r="E5" t="inlineStr">
        <is>
          <t>&gt; 6 лет</t>
        </is>
      </c>
      <c r="F5" t="inlineStr">
        <is>
          <t>&gt; 6 лет</t>
        </is>
      </c>
      <c r="G5" t="inlineStr">
        <is>
          <t>&gt; 6 лет</t>
        </is>
      </c>
    </row>
    <row r="6">
      <c r="A6" t="inlineStr">
        <is>
          <t>Житель: заходит 3 раза в неделю</t>
        </is>
      </c>
      <c r="B6" t="n">
        <v>37</v>
      </c>
      <c r="C6" t="n">
        <v>133</v>
      </c>
      <c r="D6" t="n">
        <v>365</v>
      </c>
      <c r="E6" t="n">
        <v>925</v>
      </c>
      <c r="F6" t="n">
        <v>1857</v>
      </c>
      <c r="G6" t="inlineStr">
        <is>
          <t>&gt; 6 лет</t>
        </is>
      </c>
    </row>
    <row r="7">
      <c r="A7" t="inlineStr">
        <is>
          <t>Активный: 5 дней в неделю, всё меню</t>
        </is>
      </c>
      <c r="B7" t="n">
        <v>10</v>
      </c>
      <c r="C7" t="n">
        <v>38</v>
      </c>
      <c r="D7" t="n">
        <v>108</v>
      </c>
      <c r="E7" t="n">
        <v>276</v>
      </c>
      <c r="F7" t="n">
        <v>556</v>
      </c>
      <c r="G7" t="n">
        <v>976</v>
      </c>
    </row>
    <row r="8">
      <c r="A8" t="inlineStr">
        <is>
          <t>Фармер кнопок: каждый день все 8 действий</t>
        </is>
      </c>
      <c r="B8" t="n">
        <v>8</v>
      </c>
      <c r="C8" t="n">
        <v>28</v>
      </c>
      <c r="D8" t="n">
        <v>78</v>
      </c>
      <c r="E8" t="n">
        <v>198</v>
      </c>
      <c r="F8" t="n">
        <v>398</v>
      </c>
      <c r="G8" t="n">
        <v>698</v>
      </c>
    </row>
    <row r="9">
      <c r="A9" t="inlineStr">
        <is>
          <t>Вкладчик города: активный + 2 места + 1 событие + 1 друг в месяц</t>
        </is>
      </c>
      <c r="B9" t="n">
        <v>3</v>
      </c>
      <c r="C9" t="n">
        <v>10</v>
      </c>
      <c r="D9" t="n">
        <v>43</v>
      </c>
      <c r="E9" t="n">
        <v>123</v>
      </c>
      <c r="F9" t="n">
        <v>246</v>
      </c>
      <c r="G9" t="n">
        <v>438</v>
      </c>
    </row>
    <row r="10">
      <c r="A10" t="inlineStr">
        <is>
          <t>Амбассадор: вкладчик + 4 места + 2 события + 3 друга в месяц</t>
        </is>
      </c>
      <c r="B10" t="n">
        <v>3</v>
      </c>
      <c r="C10" t="n">
        <v>10</v>
      </c>
      <c r="D10" t="n">
        <v>29</v>
      </c>
      <c r="E10" t="n">
        <v>78</v>
      </c>
      <c r="F10" t="n">
        <v>153</v>
      </c>
      <c r="G10" t="n">
        <v>273</v>
      </c>
    </row>
    <row r="11">
      <c r="A11" t="inlineStr">
        <is>
          <t>Партнёр-точка: житель + узел подключён (+200) и жив каждый месяц (+80)</t>
        </is>
      </c>
      <c r="B11" t="n">
        <v>3</v>
      </c>
      <c r="C11" t="n">
        <v>33</v>
      </c>
      <c r="D11" t="n">
        <v>123</v>
      </c>
      <c r="E11" t="n">
        <v>385</v>
      </c>
      <c r="F11" t="n">
        <v>793</v>
      </c>
      <c r="G11" t="n">
        <v>1413</v>
      </c>
    </row>
    <row r="13">
      <c r="A13" s="17" t="inlineStr">
        <is>
          <t>v1.0 — код бота до патча</t>
        </is>
      </c>
    </row>
    <row r="14">
      <c r="A14" s="3" t="inlineStr">
        <is>
          <t>Профиль</t>
        </is>
      </c>
      <c r="B14" s="3" t="inlineStr">
        <is>
          <t>100 · Житель</t>
        </is>
      </c>
      <c r="C14" s="3" t="inlineStr">
        <is>
          <t>300 · Исследователь</t>
        </is>
      </c>
      <c r="D14" s="3" t="inlineStr">
        <is>
          <t>800 · Проводник</t>
        </is>
      </c>
      <c r="E14" s="3" t="inlineStr">
        <is>
          <t>2000 · Амбассадор</t>
        </is>
      </c>
      <c r="F14" s="3" t="inlineStr">
        <is>
          <t>4000 · Легенда города</t>
        </is>
      </c>
      <c r="G14" s="3" t="inlineStr">
        <is>
          <t>7000 · City Code</t>
        </is>
      </c>
    </row>
    <row r="15">
      <c r="A15" t="inlineStr">
        <is>
          <t>Турист / редкий гость</t>
        </is>
      </c>
      <c r="B15" t="n">
        <v>84</v>
      </c>
      <c r="C15" t="n">
        <v>287</v>
      </c>
      <c r="D15" t="n">
        <v>784</v>
      </c>
      <c r="E15" t="n">
        <v>1988</v>
      </c>
      <c r="F15" t="inlineStr">
        <is>
          <t>&gt; 6 лет</t>
        </is>
      </c>
      <c r="G15" t="inlineStr">
        <is>
          <t>&gt; 6 лет</t>
        </is>
      </c>
    </row>
    <row r="16">
      <c r="A16" t="inlineStr">
        <is>
          <t>Житель: заходит 3 раза в неделю</t>
        </is>
      </c>
      <c r="B16" t="n">
        <v>28</v>
      </c>
      <c r="C16" t="n">
        <v>93</v>
      </c>
      <c r="D16" t="n">
        <v>260</v>
      </c>
      <c r="E16" t="n">
        <v>660</v>
      </c>
      <c r="F16" t="n">
        <v>1325</v>
      </c>
      <c r="G16" t="inlineStr">
        <is>
          <t>&gt; 6 лет</t>
        </is>
      </c>
    </row>
    <row r="17">
      <c r="A17" t="inlineStr">
        <is>
          <t>Активный: 5 дней в неделю, всё меню</t>
        </is>
      </c>
      <c r="B17" t="n">
        <v>7</v>
      </c>
      <c r="C17" t="n">
        <v>25</v>
      </c>
      <c r="D17" t="n">
        <v>72</v>
      </c>
      <c r="E17" t="n">
        <v>184</v>
      </c>
      <c r="F17" t="n">
        <v>371</v>
      </c>
      <c r="G17" t="n">
        <v>651</v>
      </c>
    </row>
    <row r="18">
      <c r="A18" t="inlineStr">
        <is>
          <t>Фармер кнопок: каждый день все 8 действий</t>
        </is>
      </c>
      <c r="B18" t="n">
        <v>4</v>
      </c>
      <c r="C18" t="n">
        <v>13</v>
      </c>
      <c r="D18" t="n">
        <v>35</v>
      </c>
      <c r="E18" t="n">
        <v>90</v>
      </c>
      <c r="F18" t="n">
        <v>181</v>
      </c>
      <c r="G18" t="n">
        <v>317</v>
      </c>
    </row>
    <row r="19">
      <c r="A19" t="inlineStr">
        <is>
          <t>Вкладчик города: активный + 2 места + 1 событие + 1 друг в месяц</t>
        </is>
      </c>
      <c r="B19" t="n">
        <v>3</v>
      </c>
      <c r="C19" t="n">
        <v>10</v>
      </c>
      <c r="D19" t="n">
        <v>40</v>
      </c>
      <c r="E19" t="n">
        <v>112</v>
      </c>
      <c r="F19" t="n">
        <v>225</v>
      </c>
      <c r="G19" t="n">
        <v>396</v>
      </c>
    </row>
    <row r="20">
      <c r="A20" t="inlineStr">
        <is>
          <t>Амбассадор: вкладчик + 4 места + 2 события + 3 друга в месяц</t>
        </is>
      </c>
      <c r="B20" t="n">
        <v>3</v>
      </c>
      <c r="C20" t="n">
        <v>10</v>
      </c>
      <c r="D20" t="n">
        <v>29</v>
      </c>
      <c r="E20" t="n">
        <v>77</v>
      </c>
      <c r="F20" t="n">
        <v>152</v>
      </c>
      <c r="G20" t="n">
        <v>268</v>
      </c>
    </row>
    <row r="21">
      <c r="A21" t="inlineStr">
        <is>
          <t>Партнёр-точка: житель + узел подключён (+200) и жив каждый месяц (+80)</t>
        </is>
      </c>
      <c r="B21" t="n">
        <v>3</v>
      </c>
      <c r="C21" t="n">
        <v>28</v>
      </c>
      <c r="D21" t="n">
        <v>113</v>
      </c>
      <c r="E21" t="n">
        <v>329</v>
      </c>
      <c r="F21" t="n">
        <v>673</v>
      </c>
      <c r="G21" t="n">
        <v>1203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18" customWidth="1" min="3" max="3"/>
    <col width="18" customWidth="1" min="4" max="4"/>
    <col width="10" customWidth="1" min="5" max="5"/>
    <col width="20" customWidth="1" min="6" max="6"/>
    <col width="14" customWidth="1" min="7" max="7"/>
    <col width="16" customWidth="1" min="8" max="8"/>
    <col width="10" customWidth="1" min="9" max="9"/>
  </cols>
  <sheetData>
    <row r="1">
      <c r="A1" s="1" t="inlineStr">
        <is>
          <t>Калькулятор долей: динамическая модель (Slicing Pie)</t>
        </is>
      </c>
    </row>
    <row r="2" ht="45" customHeight="1">
      <c r="A2" s="23" t="inlineStr">
        <is>
          <t>Вклад считается по рыночной цене. Неоплаченное время и ресурсы ×2, живые деньги ×4 (риск выше). Доля = вклад участника / сумма вкладов. Итог — ориентир для переговоров, а не автоматическое решение.</t>
        </is>
      </c>
    </row>
    <row r="4" ht="48" customHeight="1">
      <c r="A4" s="24" t="inlineStr">
        <is>
          <t>Участник</t>
        </is>
      </c>
      <c r="B4" s="24" t="inlineStr">
        <is>
          <t>Роль</t>
        </is>
      </c>
      <c r="C4" s="24" t="inlineStr">
        <is>
          <t>Неоплач. время, ₽/мес (рынок)</t>
        </is>
      </c>
      <c r="D4" s="24" t="inlineStr">
        <is>
          <t>Ресурсы, ₽/мес (аренда по рынку)</t>
        </is>
      </c>
      <c r="E4" s="24" t="inlineStr">
        <is>
          <t>Месяцев</t>
        </is>
      </c>
      <c r="F4" s="24" t="inlineStr">
        <is>
          <t>Разовый вклад (IP, оборудование), ₽</t>
        </is>
      </c>
      <c r="G4" s="24" t="inlineStr">
        <is>
          <t>Деньги, ₽</t>
        </is>
      </c>
      <c r="H4" s="24" t="inlineStr">
        <is>
          <t>Вклад (слайсы)</t>
        </is>
      </c>
      <c r="I4" s="24" t="inlineStr">
        <is>
          <t>Доля</t>
        </is>
      </c>
    </row>
    <row r="5">
      <c r="A5" t="inlineStr">
        <is>
          <t>YuRich (основатель)</t>
        </is>
      </c>
      <c r="B5" t="inlineStr">
        <is>
          <t>Продукт, бренд, бот, база, сайт, продажи</t>
        </is>
      </c>
      <c r="C5" s="8" t="n">
        <v>150000</v>
      </c>
      <c r="D5" s="8" t="n">
        <v>0</v>
      </c>
      <c r="E5" s="8" t="n">
        <v>12</v>
      </c>
      <c r="F5" s="8" t="n">
        <v>1500000</v>
      </c>
      <c r="G5" s="8" t="n">
        <v>300000</v>
      </c>
      <c r="H5" s="16">
        <f>2*(C5+D5)*E5+2*F5+4*G5</f>
        <v/>
      </c>
      <c r="I5" s="25">
        <f>IF(SUM($H$5:$H$8)=0,0,H5/SUM($H$5:$H$8))</f>
        <v/>
      </c>
    </row>
    <row r="6">
      <c r="A6" t="inlineStr">
        <is>
          <t>Партнёр по оборудованию и контенту</t>
        </is>
      </c>
      <c r="B6" t="inlineStr">
        <is>
          <t>Камера, свет, звук, монтаж, съёмки</t>
        </is>
      </c>
      <c r="C6" s="8" t="n">
        <v>0</v>
      </c>
      <c r="D6" s="8" t="n">
        <v>40000</v>
      </c>
      <c r="E6" s="8" t="n">
        <v>12</v>
      </c>
      <c r="F6" s="8" t="n">
        <v>0</v>
      </c>
      <c r="G6" s="8" t="n">
        <v>0</v>
      </c>
      <c r="H6" s="16">
        <f>2*(C6+D6)*E6+2*F6+4*G6</f>
        <v/>
      </c>
      <c r="I6" s="25">
        <f>IF(SUM($H$5:$H$8)=0,0,H6/SUM($H$5:$H$8))</f>
        <v/>
      </c>
    </row>
    <row r="7">
      <c r="A7" t="inlineStr">
        <is>
          <t>Партнёр по событиям и офису</t>
        </is>
      </c>
      <c r="B7" t="inlineStr">
        <is>
          <t>Площадка для событий, рабочее место</t>
        </is>
      </c>
      <c r="C7" s="8" t="n">
        <v>0</v>
      </c>
      <c r="D7" s="8" t="n">
        <v>60000</v>
      </c>
      <c r="E7" s="8" t="n">
        <v>12</v>
      </c>
      <c r="F7" s="8" t="n">
        <v>0</v>
      </c>
      <c r="G7" s="8" t="n">
        <v>0</v>
      </c>
      <c r="H7" s="16">
        <f>2*(C7+D7)*E7+2*F7+4*G7</f>
        <v/>
      </c>
      <c r="I7" s="25">
        <f>IF(SUM($H$5:$H$8)=0,0,H7/SUM($H$5:$H$8))</f>
        <v/>
      </c>
    </row>
    <row r="8">
      <c r="A8" t="inlineStr">
        <is>
          <t>(резерв) Технический партнёр</t>
        </is>
      </c>
      <c r="B8" t="inlineStr">
        <is>
          <t>Разработка, сервер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16">
        <f>2*(C8+D8)*E8+2*F8+4*G8</f>
        <v/>
      </c>
      <c r="I8" s="25">
        <f>IF(SUM($H$5:$H$8)=0,0,H8/SUM($H$5:$H$8))</f>
        <v/>
      </c>
    </row>
    <row r="9">
      <c r="G9" s="17" t="inlineStr">
        <is>
          <t>Итого</t>
        </is>
      </c>
      <c r="H9" s="16">
        <f>SUM(H5:H8)</f>
        <v/>
      </c>
      <c r="I9" s="25">
        <f>SUM(I5:I8)</f>
        <v/>
      </c>
    </row>
    <row r="11">
      <c r="A11" s="17" t="inlineStr">
        <is>
          <t>Ограничители (рекомендация)</t>
        </is>
      </c>
    </row>
    <row r="12" ht="32" customHeight="1">
      <c r="A12" s="23" t="inlineStr">
        <is>
          <t>1. Пул стратегических партнёров — не больше 10–15% на всех. Если калькулятор даёт больше — излишек платим revenue share, а не долей.</t>
        </is>
      </c>
    </row>
    <row r="13" ht="32" customHeight="1">
      <c r="A13" s="23" t="inlineStr">
        <is>
          <t>2. Вестинг 24–36 месяцев, первые 6–12 месяцев «клифф»: ушёл раньше — доли нет, вклад закрываем выплатами по выручке.</t>
        </is>
      </c>
    </row>
    <row r="14" ht="32" customHeight="1">
      <c r="A14" s="23" t="inlineStr">
        <is>
          <t>3. Доля возможна только в юрлице (ООО). Пока ты физлицо/ИП — опционный договор (ст. 429.2 ГК) или договор о выручке.</t>
        </is>
      </c>
    </row>
    <row r="15" ht="32" customHeight="1">
      <c r="A15" s="23" t="inlineStr">
        <is>
          <t>4. Доля — в той компании, где лежат права (товарные знаки, ПО, база). Не дробить на «долю в боте» и «долю в клубе».</t>
        </is>
      </c>
    </row>
    <row r="16" ht="32" customHeight="1">
      <c r="A16" s="23" t="inlineStr">
        <is>
          <t>5. Revenue share вместо доли: партнёру по оборудованию — 40% выручки со съёмок (= shoot_cost в params.json), площадке — 50% чистой выручки события.</t>
        </is>
      </c>
    </row>
  </sheetData>
  <mergeCells count="6">
    <mergeCell ref="A15:I15"/>
    <mergeCell ref="A2:I2"/>
    <mergeCell ref="A13:I13"/>
    <mergeCell ref="A14:I14"/>
    <mergeCell ref="A12:I1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2026-10-25T11:29:28Z</dcterms:created>
  <dcterms:modified xmlns:dcterms="http://purl.org/dc/terms/" xmlns:xsi="http://www.w3.org/2001/XMLSchema-instance" xsi:type="dcterms:W3CDTF">2026-10-25T11:29:28Z</dcterms:modified>
</cp:coreProperties>
</file>