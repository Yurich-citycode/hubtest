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ценарии" sheetId="1" state="visible" r:id="rId1"/>
    <sheet xmlns:r="http://schemas.openxmlformats.org/officeDocument/2006/relationships" name="Доли партнёров" sheetId="2" state="visible" r:id="rId2"/>
    <sheet xmlns:r="http://schemas.openxmlformats.org/officeDocument/2006/relationships" name="Прайс" sheetId="3" state="visible" r:id="rId3"/>
    <sheet xmlns:r="http://schemas.openxmlformats.org/officeDocument/2006/relationships" name="XP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 ##0"/>
    <numFmt numFmtId="165" formatCode="0.0%"/>
  </numFmts>
  <fonts count="9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b val="1"/>
      <color rgb="00FFFFFF"/>
    </font>
    <font>
      <i val="1"/>
      <color rgb="00666666"/>
      <sz val="9"/>
    </font>
    <font>
      <color rgb="00777777"/>
      <sz val="9"/>
    </font>
    <font>
      <b val="1"/>
      <color rgb="00D7FF3D"/>
    </font>
    <font>
      <b val="1"/>
    </font>
    <font>
      <b val="1"/>
      <sz val="13"/>
    </font>
  </fonts>
  <fills count="6">
    <fill>
      <patternFill/>
    </fill>
    <fill>
      <patternFill patternType="gray125"/>
    </fill>
    <fill>
      <patternFill patternType="solid">
        <fgColor rgb="00111111"/>
      </patternFill>
    </fill>
    <fill>
      <patternFill patternType="solid">
        <fgColor rgb="002B2B2B"/>
      </patternFill>
    </fill>
    <fill>
      <patternFill patternType="solid">
        <fgColor rgb="00FFF4C2"/>
      </patternFill>
    </fill>
    <fill>
      <patternFill patternType="solid">
        <fgColor rgb="00EAF7C8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6" fillId="3" borderId="0" pivotButton="0" quotePrefix="0" xfId="0"/>
    <xf numFmtId="164" fontId="0" fillId="4" borderId="1" pivotButton="0" quotePrefix="0" xfId="0"/>
    <xf numFmtId="0" fontId="5" fillId="0" borderId="0" pivotButton="0" quotePrefix="0" xfId="0"/>
    <xf numFmtId="165" fontId="0" fillId="4" borderId="1" pivotButton="0" quotePrefix="0" xfId="0"/>
    <xf numFmtId="164" fontId="0" fillId="0" borderId="1" pivotButton="0" quotePrefix="0" xfId="0"/>
    <xf numFmtId="0" fontId="7" fillId="0" borderId="0" pivotButton="0" quotePrefix="0" xfId="0"/>
    <xf numFmtId="164" fontId="7" fillId="5" borderId="1" pivotButton="0" quotePrefix="0" xfId="0"/>
    <xf numFmtId="2" fontId="0" fillId="0" borderId="1" pivotButton="0" quotePrefix="0" xfId="0"/>
    <xf numFmtId="165" fontId="0" fillId="0" borderId="1" pivotButton="0" quotePrefix="0" xfId="0"/>
    <xf numFmtId="2" fontId="7" fillId="5" borderId="1" pivotButton="0" quotePrefix="0" xfId="0"/>
    <xf numFmtId="0" fontId="0" fillId="0" borderId="0" applyAlignment="1" pivotButton="0" quotePrefix="0" xfId="0">
      <alignment wrapText="1"/>
    </xf>
    <xf numFmtId="0" fontId="3" fillId="2" borderId="0" applyAlignment="1" pivotButton="0" quotePrefix="0" xfId="0">
      <alignment vertical="top" wrapText="1"/>
    </xf>
    <xf numFmtId="164" fontId="0" fillId="4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8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48" customWidth="1" min="8" max="8"/>
  </cols>
  <sheetData>
    <row r="1">
      <c r="A1" s="1" t="inlineStr">
        <is>
          <t>Экономика экосистемы SevastopolAI · City Code · YuRichRWA</t>
        </is>
      </c>
    </row>
    <row r="2">
      <c r="A2" s="2" t="inlineStr">
        <is>
          <t>Жёлтое — допущения, меняй их. Зелёное — итоги. Оборот партнёров ≠ наша выручка. Все цифры — модель, не факт.</t>
        </is>
      </c>
    </row>
    <row r="4">
      <c r="A4" s="3" t="inlineStr">
        <is>
          <t>Показатель</t>
        </is>
      </c>
      <c r="B4" s="3" t="inlineStr">
        <is>
          <t>Ед.</t>
        </is>
      </c>
      <c r="C4" s="3" t="inlineStr">
        <is>
          <t>S1 · Пилот</t>
        </is>
      </c>
      <c r="D4" s="3" t="inlineStr">
        <is>
          <t>S2 · Сеть</t>
        </is>
      </c>
      <c r="E4" s="3" t="inlineStr">
        <is>
          <t>S3 · Город</t>
        </is>
      </c>
      <c r="F4" s="3" t="inlineStr">
        <is>
          <t>S4 · Зрелый город</t>
        </is>
      </c>
      <c r="G4" s="3" t="inlineStr">
        <is>
          <t>S5 · 3 города</t>
        </is>
      </c>
      <c r="H4" s="3" t="inlineStr">
        <is>
          <t>Комментарий</t>
        </is>
      </c>
    </row>
    <row r="5">
      <c r="A5" s="4" t="inlineStr"/>
      <c r="B5" s="4" t="inlineStr"/>
      <c r="C5" s="4" t="inlineStr">
        <is>
          <t>5 партнёров · 100 юзеров</t>
        </is>
      </c>
      <c r="D5" s="4" t="inlineStr">
        <is>
          <t>10 партнёров · 500 юзеров</t>
        </is>
      </c>
      <c r="E5" s="4" t="inlineStr">
        <is>
          <t>30 партнёров · 5 000 юзеров</t>
        </is>
      </c>
      <c r="F5" s="4" t="inlineStr">
        <is>
          <t>60 партнёров · 15 000 юзеров</t>
        </is>
      </c>
      <c r="G5" s="4" t="inlineStr">
        <is>
          <t>150 партнёров · 50 000 юзеров</t>
        </is>
      </c>
      <c r="H5" s="4" t="inlineStr"/>
    </row>
    <row r="6">
      <c r="A6" s="5" t="inlineStr">
        <is>
          <t>МАСШТАБ</t>
        </is>
      </c>
      <c r="B6" s="5" t="inlineStr"/>
      <c r="C6" s="5" t="n"/>
      <c r="D6" s="5" t="n"/>
      <c r="E6" s="5" t="n"/>
      <c r="F6" s="5" t="n"/>
      <c r="G6" s="5" t="n"/>
      <c r="H6" s="5" t="inlineStr"/>
    </row>
    <row r="7">
      <c r="A7" t="inlineStr">
        <is>
          <t>Партнёров City Code (точек)</t>
        </is>
      </c>
      <c r="B7" t="inlineStr">
        <is>
          <t>шт</t>
        </is>
      </c>
      <c r="C7" s="6" t="n">
        <v>5</v>
      </c>
      <c r="D7" s="6" t="n">
        <v>10</v>
      </c>
      <c r="E7" s="6" t="n">
        <v>30</v>
      </c>
      <c r="F7" s="6" t="n">
        <v>60</v>
      </c>
      <c r="G7" s="6" t="n">
        <v>150</v>
      </c>
      <c r="H7" s="7" t="inlineStr">
        <is>
          <t>Физические точки с привилегией</t>
        </is>
      </c>
    </row>
    <row r="8">
      <c r="A8" t="inlineStr">
        <is>
          <t>Пользователей Sevastopol AI в месяц (MAU)</t>
        </is>
      </c>
      <c r="B8" t="inlineStr">
        <is>
          <t>чел</t>
        </is>
      </c>
      <c r="C8" s="6" t="n">
        <v>100</v>
      </c>
      <c r="D8" s="6" t="n">
        <v>500</v>
      </c>
      <c r="E8" s="6" t="n">
        <v>5000</v>
      </c>
      <c r="F8" s="6" t="n">
        <v>15000</v>
      </c>
      <c r="G8" s="6" t="n">
        <v>50000</v>
      </c>
      <c r="H8" s="7" t="inlineStr">
        <is>
          <t>Активные в боте за 30 дней</t>
        </is>
      </c>
    </row>
    <row r="9">
      <c r="A9" t="inlineStr">
        <is>
          <t>Городов</t>
        </is>
      </c>
      <c r="B9" t="inlineStr">
        <is>
          <t>шт</t>
        </is>
      </c>
      <c r="C9" s="6" t="n">
        <v>1</v>
      </c>
      <c r="D9" s="6" t="n">
        <v>1</v>
      </c>
      <c r="E9" s="6" t="n">
        <v>1</v>
      </c>
      <c r="F9" s="6" t="n">
        <v>1</v>
      </c>
      <c r="G9" s="6" t="n">
        <v>3</v>
      </c>
      <c r="H9" s="7" t="inlineStr"/>
    </row>
    <row r="10">
      <c r="A10" s="5" t="inlineStr">
        <is>
          <t>CITY CODE · ЧЛЕНСТВО</t>
        </is>
      </c>
      <c r="B10" s="5" t="inlineStr"/>
      <c r="C10" s="5" t="n"/>
      <c r="D10" s="5" t="n"/>
      <c r="E10" s="5" t="n"/>
      <c r="F10" s="5" t="n"/>
      <c r="G10" s="5" t="n"/>
      <c r="H10" s="5" t="inlineStr"/>
    </row>
    <row r="11">
      <c r="A11" t="inlineStr">
        <is>
          <t>Цена Basic</t>
        </is>
      </c>
      <c r="B11" t="inlineStr">
        <is>
          <t>₽/год</t>
        </is>
      </c>
      <c r="C11" s="6" t="n">
        <v>5108</v>
      </c>
      <c r="D11" s="6" t="n">
        <v>5108</v>
      </c>
      <c r="E11" s="6" t="n">
        <v>5108</v>
      </c>
      <c r="F11" s="6" t="n">
        <v>5108</v>
      </c>
      <c r="G11" s="6" t="n">
        <v>5108</v>
      </c>
      <c r="H11" s="7" t="inlineStr">
        <is>
          <t>Зафиксировано в CITY CODE v1.0</t>
        </is>
      </c>
    </row>
    <row r="12">
      <c r="A12" t="inlineStr">
        <is>
          <t>Цена «Основатели»</t>
        </is>
      </c>
      <c r="B12" t="inlineStr">
        <is>
          <t>₽/год</t>
        </is>
      </c>
      <c r="C12" s="6" t="n">
        <v>15108</v>
      </c>
      <c r="D12" s="6" t="n">
        <v>15108</v>
      </c>
      <c r="E12" s="6" t="n">
        <v>15108</v>
      </c>
      <c r="F12" s="6" t="n">
        <v>15108</v>
      </c>
      <c r="G12" s="6" t="n">
        <v>15108</v>
      </c>
      <c r="H12" s="7" t="inlineStr">
        <is>
          <t>Зафиксировано v1.0, цена навсегда</t>
        </is>
      </c>
    </row>
    <row r="13">
      <c r="A13" t="inlineStr">
        <is>
          <t>Мест «Основатели»</t>
        </is>
      </c>
      <c r="B13" t="inlineStr">
        <is>
          <t>шт</t>
        </is>
      </c>
      <c r="C13" s="6" t="n">
        <v>50</v>
      </c>
      <c r="D13" s="6" t="n">
        <v>50</v>
      </c>
      <c r="E13" s="6" t="n">
        <v>50</v>
      </c>
      <c r="F13" s="6" t="n">
        <v>50</v>
      </c>
      <c r="G13" s="6" t="n">
        <v>150</v>
      </c>
      <c r="H13" s="7" t="inlineStr">
        <is>
          <t>50 на город</t>
        </is>
      </c>
    </row>
    <row r="14">
      <c r="A14" t="inlineStr">
        <is>
          <t>Конверсия MAU → участник</t>
        </is>
      </c>
      <c r="B14" t="inlineStr">
        <is>
          <t>%</t>
        </is>
      </c>
      <c r="C14" s="8" t="n">
        <v>0.05</v>
      </c>
      <c r="D14" s="8" t="n">
        <v>0.04</v>
      </c>
      <c r="E14" s="8" t="n">
        <v>0.035</v>
      </c>
      <c r="F14" s="8" t="n">
        <v>0.03</v>
      </c>
      <c r="G14" s="8" t="n">
        <v>0.03</v>
      </c>
      <c r="H14" s="7" t="inlineStr">
        <is>
          <t>Допущение. Проверить на пилоте</t>
        </is>
      </c>
    </row>
    <row r="15">
      <c r="A15" t="inlineStr">
        <is>
          <t>Участники из личного окружения / офлайн-продаж</t>
        </is>
      </c>
      <c r="B15" t="inlineStr">
        <is>
          <t>чел</t>
        </is>
      </c>
      <c r="C15" s="6" t="n">
        <v>10</v>
      </c>
      <c r="D15" s="6" t="n">
        <v>30</v>
      </c>
      <c r="E15" s="6" t="n">
        <v>60</v>
      </c>
      <c r="F15" s="6" t="n">
        <v>80</v>
      </c>
      <c r="G15" s="6" t="n">
        <v>150</v>
      </c>
      <c r="H15" s="7" t="inlineStr">
        <is>
          <t>Основатели продаются руками, не ботом</t>
        </is>
      </c>
    </row>
    <row r="16">
      <c r="A16" t="inlineStr">
        <is>
          <t>Ёмкость: участников на 1 партнёра</t>
        </is>
      </c>
      <c r="B16" t="inlineStr">
        <is>
          <t>чел</t>
        </is>
      </c>
      <c r="C16" s="6" t="n">
        <v>15</v>
      </c>
      <c r="D16" s="6" t="n">
        <v>15</v>
      </c>
      <c r="E16" s="6" t="n">
        <v>15</v>
      </c>
      <c r="F16" s="6" t="n">
        <v>15</v>
      </c>
      <c r="G16" s="6" t="n">
        <v>15</v>
      </c>
      <c r="H16" s="7" t="inlineStr">
        <is>
          <t>Сколько гостей точка выдерживает без перегрузки</t>
        </is>
      </c>
    </row>
    <row r="17">
      <c r="A17" t="inlineStr">
        <is>
          <t>Спрос на членство</t>
        </is>
      </c>
      <c r="B17" t="inlineStr">
        <is>
          <t>чел</t>
        </is>
      </c>
      <c r="C17" s="9">
        <f>C8*C14+C15</f>
        <v/>
      </c>
      <c r="D17" s="9">
        <f>D8*D14+D15</f>
        <v/>
      </c>
      <c r="E17" s="9">
        <f>E8*E14+E15</f>
        <v/>
      </c>
      <c r="F17" s="9">
        <f>F8*F14+F15</f>
        <v/>
      </c>
      <c r="G17" s="9">
        <f>G8*G14+G15</f>
        <v/>
      </c>
      <c r="H17" s="7" t="inlineStr"/>
    </row>
    <row r="18">
      <c r="A18" t="inlineStr">
        <is>
          <t>Потолок по ёмкости партнёров</t>
        </is>
      </c>
      <c r="B18" t="inlineStr">
        <is>
          <t>чел</t>
        </is>
      </c>
      <c r="C18" s="9">
        <f>C7*C16</f>
        <v/>
      </c>
      <c r="D18" s="9">
        <f>D7*D16</f>
        <v/>
      </c>
      <c r="E18" s="9">
        <f>E7*E16</f>
        <v/>
      </c>
      <c r="F18" s="9">
        <f>F7*F16</f>
        <v/>
      </c>
      <c r="G18" s="9">
        <f>G7*G16</f>
        <v/>
      </c>
      <c r="H18" s="7" t="inlineStr">
        <is>
          <t>Правило v1.0: рост через партнёров</t>
        </is>
      </c>
    </row>
    <row r="19">
      <c r="A19" s="10" t="inlineStr">
        <is>
          <t>Участников City Code</t>
        </is>
      </c>
      <c r="B19" t="inlineStr">
        <is>
          <t>чел</t>
        </is>
      </c>
      <c r="C19" s="11">
        <f>ROUND(MIN(C17,C18),0)</f>
        <v/>
      </c>
      <c r="D19" s="11">
        <f>ROUND(MIN(D17,D18),0)</f>
        <v/>
      </c>
      <c r="E19" s="11">
        <f>ROUND(MIN(E17,E18),0)</f>
        <v/>
      </c>
      <c r="F19" s="11">
        <f>ROUND(MIN(F17,F18),0)</f>
        <v/>
      </c>
      <c r="G19" s="11">
        <f>ROUND(MIN(G17,G18),0)</f>
        <v/>
      </c>
      <c r="H19" s="7" t="inlineStr"/>
    </row>
    <row r="20">
      <c r="A20" t="inlineStr">
        <is>
          <t xml:space="preserve">  из них «Основатели»</t>
        </is>
      </c>
      <c r="B20" t="inlineStr">
        <is>
          <t>чел</t>
        </is>
      </c>
      <c r="C20" s="9">
        <f>MIN(C13,C19)</f>
        <v/>
      </c>
      <c r="D20" s="9">
        <f>MIN(D13,D19)</f>
        <v/>
      </c>
      <c r="E20" s="9">
        <f>MIN(E13,E19)</f>
        <v/>
      </c>
      <c r="F20" s="9">
        <f>MIN(F13,F19)</f>
        <v/>
      </c>
      <c r="G20" s="9">
        <f>MIN(G13,G19)</f>
        <v/>
      </c>
      <c r="H20" s="7" t="inlineStr">
        <is>
          <t>Первые места продаются как Основатели</t>
        </is>
      </c>
    </row>
    <row r="21">
      <c r="A21" t="inlineStr">
        <is>
          <t xml:space="preserve">  из них Basic</t>
        </is>
      </c>
      <c r="B21" t="inlineStr">
        <is>
          <t>чел</t>
        </is>
      </c>
      <c r="C21" s="9">
        <f>C19-C20</f>
        <v/>
      </c>
      <c r="D21" s="9">
        <f>D19-D20</f>
        <v/>
      </c>
      <c r="E21" s="9">
        <f>E19-E20</f>
        <v/>
      </c>
      <c r="F21" s="9">
        <f>F19-F20</f>
        <v/>
      </c>
      <c r="G21" s="9">
        <f>G19-G20</f>
        <v/>
      </c>
      <c r="H21" s="7" t="inlineStr"/>
    </row>
    <row r="22">
      <c r="A22" t="inlineStr">
        <is>
          <t>Выручка членства за год</t>
        </is>
      </c>
      <c r="B22" t="inlineStr">
        <is>
          <t>₽/год</t>
        </is>
      </c>
      <c r="C22" s="9">
        <f>C20*C12+C21*C11</f>
        <v/>
      </c>
      <c r="D22" s="9">
        <f>D20*D12+D21*D11</f>
        <v/>
      </c>
      <c r="E22" s="9">
        <f>E20*E12+E21*E11</f>
        <v/>
      </c>
      <c r="F22" s="9">
        <f>F20*F12+F21*F11</f>
        <v/>
      </c>
      <c r="G22" s="9">
        <f>G20*G12+G21*G11</f>
        <v/>
      </c>
      <c r="H22" s="7" t="inlineStr"/>
    </row>
    <row r="23">
      <c r="A23" s="10" t="inlineStr">
        <is>
          <t>Выручка членства в месяц</t>
        </is>
      </c>
      <c r="B23" t="inlineStr">
        <is>
          <t>₽/мес</t>
        </is>
      </c>
      <c r="C23" s="11">
        <f>C22/12</f>
        <v/>
      </c>
      <c r="D23" s="11">
        <f>D22/12</f>
        <v/>
      </c>
      <c r="E23" s="11">
        <f>E22/12</f>
        <v/>
      </c>
      <c r="F23" s="11">
        <f>F22/12</f>
        <v/>
      </c>
      <c r="G23" s="11">
        <f>G22/12</f>
        <v/>
      </c>
      <c r="H23" s="7" t="inlineStr"/>
    </row>
    <row r="24">
      <c r="A24" s="5" t="inlineStr">
        <is>
          <t>ПАРТНЁРСКАЯ СЕТЬ (оборот партнёров — НЕ наш доход)</t>
        </is>
      </c>
      <c r="B24" s="5" t="inlineStr"/>
      <c r="C24" s="5" t="n"/>
      <c r="D24" s="5" t="n"/>
      <c r="E24" s="5" t="n"/>
      <c r="F24" s="5" t="n"/>
      <c r="G24" s="5" t="n"/>
      <c r="H24" s="5" t="inlineStr"/>
    </row>
    <row r="25">
      <c r="A25" t="inlineStr">
        <is>
          <t>Средний расход участника у партнёров</t>
        </is>
      </c>
      <c r="B25" t="inlineStr">
        <is>
          <t>₽/мес</t>
        </is>
      </c>
      <c r="C25" s="6" t="n">
        <v>7000</v>
      </c>
      <c r="D25" s="6" t="n">
        <v>7000</v>
      </c>
      <c r="E25" s="6" t="n">
        <v>7000</v>
      </c>
      <c r="F25" s="6" t="n">
        <v>7000</v>
      </c>
      <c r="G25" s="6" t="n">
        <v>7000</v>
      </c>
      <c r="H25" s="7" t="inlineStr">
        <is>
          <t>Из v1.0</t>
        </is>
      </c>
    </row>
    <row r="26">
      <c r="A26" t="inlineStr">
        <is>
          <t>Средняя привилегия</t>
        </is>
      </c>
      <c r="B26" t="inlineStr">
        <is>
          <t>%</t>
        </is>
      </c>
      <c r="C26" s="8" t="n">
        <v>0.05</v>
      </c>
      <c r="D26" s="8" t="n">
        <v>0.05</v>
      </c>
      <c r="E26" s="8" t="n">
        <v>0.05</v>
      </c>
      <c r="F26" s="8" t="n">
        <v>0.05</v>
      </c>
      <c r="G26" s="8" t="n">
        <v>0.05</v>
      </c>
      <c r="H26" s="7" t="inlineStr">
        <is>
          <t>v1.0: 3–7%</t>
        </is>
      </c>
    </row>
    <row r="27">
      <c r="A27" t="inlineStr">
        <is>
          <t>Оборот сети через участников</t>
        </is>
      </c>
      <c r="B27" t="inlineStr">
        <is>
          <t>₽/мес</t>
        </is>
      </c>
      <c r="C27" s="9">
        <f>C19*C25</f>
        <v/>
      </c>
      <c r="D27" s="9">
        <f>D19*D25</f>
        <v/>
      </c>
      <c r="E27" s="9">
        <f>E19*E25</f>
        <v/>
      </c>
      <c r="F27" s="9">
        <f>F19*F25</f>
        <v/>
      </c>
      <c r="G27" s="9">
        <f>G19*G25</f>
        <v/>
      </c>
      <c r="H27" s="7" t="inlineStr"/>
    </row>
    <row r="28">
      <c r="A28" t="inlineStr">
        <is>
          <t>Доп. оборот на 1 партнёра</t>
        </is>
      </c>
      <c r="B28" t="inlineStr">
        <is>
          <t>₽/мес</t>
        </is>
      </c>
      <c r="C28" s="9">
        <f>C27/C7</f>
        <v/>
      </c>
      <c r="D28" s="9">
        <f>D27/D7</f>
        <v/>
      </c>
      <c r="E28" s="9">
        <f>E27/E7</f>
        <v/>
      </c>
      <c r="F28" s="9">
        <f>F27/F7</f>
        <v/>
      </c>
      <c r="G28" s="9">
        <f>G27/G7</f>
        <v/>
      </c>
      <c r="H28" s="7" t="inlineStr">
        <is>
          <t>Сравни с выручкой точки</t>
        </is>
      </c>
    </row>
    <row r="29">
      <c r="A29" t="inlineStr">
        <is>
          <t>Экономия участника на привилегиях за год</t>
        </is>
      </c>
      <c r="B29" t="inlineStr">
        <is>
          <t>₽/год</t>
        </is>
      </c>
      <c r="C29" s="9">
        <f>C25*12*C26</f>
        <v/>
      </c>
      <c r="D29" s="9">
        <f>D25*12*D26</f>
        <v/>
      </c>
      <c r="E29" s="9">
        <f>E25*12*E26</f>
        <v/>
      </c>
      <c r="F29" s="9">
        <f>F25*12*F26</f>
        <v/>
      </c>
      <c r="G29" s="9">
        <f>G25*12*G26</f>
        <v/>
      </c>
      <c r="H29" s="7" t="inlineStr"/>
    </row>
    <row r="30">
      <c r="A30" t="inlineStr">
        <is>
          <t>Окупаемость Basic скидками</t>
        </is>
      </c>
      <c r="B30" t="inlineStr">
        <is>
          <t>раз</t>
        </is>
      </c>
      <c r="C30" s="12">
        <f>C29/C11</f>
        <v/>
      </c>
      <c r="D30" s="12">
        <f>D29/D11</f>
        <v/>
      </c>
      <c r="E30" s="12">
        <f>E29/E11</f>
        <v/>
      </c>
      <c r="F30" s="12">
        <f>F29/F11</f>
        <v/>
      </c>
      <c r="G30" s="12">
        <f>G29/G11</f>
        <v/>
      </c>
      <c r="H30" s="7" t="inlineStr">
        <is>
          <t>&lt;1 — ценность должна быть в людях и событиях</t>
        </is>
      </c>
    </row>
    <row r="31">
      <c r="A31" s="5" t="inlineStr">
        <is>
          <t>SEVASTOPOL AI · РЕКЛАМА И КОНТЕНТ</t>
        </is>
      </c>
      <c r="B31" s="5" t="inlineStr"/>
      <c r="C31" s="5" t="n"/>
      <c r="D31" s="5" t="n"/>
      <c r="E31" s="5" t="n"/>
      <c r="F31" s="5" t="n"/>
      <c r="G31" s="5" t="n"/>
      <c r="H31" s="5" t="inlineStr"/>
    </row>
    <row r="32">
      <c r="A32" t="inlineStr">
        <is>
          <t>Платных размещений в месяц</t>
        </is>
      </c>
      <c r="B32" t="inlineStr">
        <is>
          <t>шт</t>
        </is>
      </c>
      <c r="C32" s="6" t="n">
        <v>2</v>
      </c>
      <c r="D32" s="6" t="n">
        <v>5</v>
      </c>
      <c r="E32" s="6" t="n">
        <v>15</v>
      </c>
      <c r="F32" s="6" t="n">
        <v>30</v>
      </c>
      <c r="G32" s="6" t="n">
        <v>80</v>
      </c>
      <c r="H32" s="7" t="inlineStr">
        <is>
          <t>Маркированная реклама, см. «Прайс»</t>
        </is>
      </c>
    </row>
    <row r="33">
      <c r="A33" t="inlineStr">
        <is>
          <t>Средний чек размещения</t>
        </is>
      </c>
      <c r="B33" t="inlineStr">
        <is>
          <t>₽</t>
        </is>
      </c>
      <c r="C33" s="6" t="n">
        <v>3000</v>
      </c>
      <c r="D33" s="6" t="n">
        <v>5000</v>
      </c>
      <c r="E33" s="6" t="n">
        <v>10000</v>
      </c>
      <c r="F33" s="6" t="n">
        <v>15000</v>
      </c>
      <c r="G33" s="6" t="n">
        <v>15000</v>
      </c>
      <c r="H33" s="7" t="inlineStr">
        <is>
          <t>Растёт с аудиторией</t>
        </is>
      </c>
    </row>
    <row r="34">
      <c r="A34" t="inlineStr">
        <is>
          <t>Выручка рекламы SAI</t>
        </is>
      </c>
      <c r="B34" t="inlineStr">
        <is>
          <t>₽/мес</t>
        </is>
      </c>
      <c r="C34" s="9">
        <f>C32*C33</f>
        <v/>
      </c>
      <c r="D34" s="9">
        <f>D32*D33</f>
        <v/>
      </c>
      <c r="E34" s="9">
        <f>E32*E33</f>
        <v/>
      </c>
      <c r="F34" s="9">
        <f>F32*F33</f>
        <v/>
      </c>
      <c r="G34" s="9">
        <f>G32*G33</f>
        <v/>
      </c>
      <c r="H34" s="7" t="inlineStr"/>
    </row>
    <row r="35">
      <c r="A35" t="inlineStr">
        <is>
          <t>Съёмок для заведений в месяц</t>
        </is>
      </c>
      <c r="B35" t="inlineStr">
        <is>
          <t>шт</t>
        </is>
      </c>
      <c r="C35" s="6" t="n">
        <v>0</v>
      </c>
      <c r="D35" s="6" t="n">
        <v>2</v>
      </c>
      <c r="E35" s="6" t="n">
        <v>4</v>
      </c>
      <c r="F35" s="6" t="n">
        <v>8</v>
      </c>
      <c r="G35" s="6" t="n">
        <v>20</v>
      </c>
      <c r="H35" s="7" t="inlineStr">
        <is>
          <t>С партнёром по оборудованию</t>
        </is>
      </c>
    </row>
    <row r="36">
      <c r="A36" t="inlineStr">
        <is>
          <t>Цена съёмки</t>
        </is>
      </c>
      <c r="B36" t="inlineStr">
        <is>
          <t>₽</t>
        </is>
      </c>
      <c r="C36" s="6" t="n">
        <v>10000</v>
      </c>
      <c r="D36" s="6" t="n">
        <v>12000</v>
      </c>
      <c r="E36" s="6" t="n">
        <v>15000</v>
      </c>
      <c r="F36" s="6" t="n">
        <v>15000</v>
      </c>
      <c r="G36" s="6" t="n">
        <v>15000</v>
      </c>
      <c r="H36" s="7" t="inlineStr"/>
    </row>
    <row r="37">
      <c r="A37" t="inlineStr">
        <is>
          <t>Выручка контент-продакшна</t>
        </is>
      </c>
      <c r="B37" t="inlineStr">
        <is>
          <t>₽/мес</t>
        </is>
      </c>
      <c r="C37" s="9">
        <f>C35*C36</f>
        <v/>
      </c>
      <c r="D37" s="9">
        <f>D35*D36</f>
        <v/>
      </c>
      <c r="E37" s="9">
        <f>E35*E36</f>
        <v/>
      </c>
      <c r="F37" s="9">
        <f>F35*F36</f>
        <v/>
      </c>
      <c r="G37" s="9">
        <f>G35*G36</f>
        <v/>
      </c>
      <c r="H37" s="7" t="inlineStr"/>
    </row>
    <row r="38">
      <c r="A38" s="5" t="inlineStr">
        <is>
          <t>СОБЫТИЯ CITY CODE</t>
        </is>
      </c>
      <c r="B38" s="5" t="inlineStr"/>
      <c r="C38" s="5" t="n"/>
      <c r="D38" s="5" t="n"/>
      <c r="E38" s="5" t="n"/>
      <c r="F38" s="5" t="n"/>
      <c r="G38" s="5" t="n"/>
      <c r="H38" s="5" t="inlineStr"/>
    </row>
    <row r="39">
      <c r="A39" t="inlineStr">
        <is>
          <t>Платных событий в месяц</t>
        </is>
      </c>
      <c r="B39" t="inlineStr">
        <is>
          <t>шт</t>
        </is>
      </c>
      <c r="C39" s="6" t="n">
        <v>0</v>
      </c>
      <c r="D39" s="6" t="n">
        <v>1</v>
      </c>
      <c r="E39" s="6" t="n">
        <v>2</v>
      </c>
      <c r="F39" s="6" t="n">
        <v>4</v>
      </c>
      <c r="G39" s="6" t="n">
        <v>10</v>
      </c>
      <c r="H39" s="7" t="inlineStr"/>
    </row>
    <row r="40">
      <c r="A40" t="inlineStr">
        <is>
          <t>Гостей на событии</t>
        </is>
      </c>
      <c r="B40" t="inlineStr">
        <is>
          <t>чел</t>
        </is>
      </c>
      <c r="C40" s="6" t="n">
        <v>0</v>
      </c>
      <c r="D40" s="6" t="n">
        <v>20</v>
      </c>
      <c r="E40" s="6" t="n">
        <v>35</v>
      </c>
      <c r="F40" s="6" t="n">
        <v>50</v>
      </c>
      <c r="G40" s="6" t="n">
        <v>50</v>
      </c>
      <c r="H40" s="7" t="inlineStr"/>
    </row>
    <row r="41">
      <c r="A41" t="inlineStr">
        <is>
          <t>Билет</t>
        </is>
      </c>
      <c r="B41" t="inlineStr">
        <is>
          <t>₽</t>
        </is>
      </c>
      <c r="C41" s="6" t="n">
        <v>1500</v>
      </c>
      <c r="D41" s="6" t="n">
        <v>1500</v>
      </c>
      <c r="E41" s="6" t="n">
        <v>2000</v>
      </c>
      <c r="F41" s="6" t="n">
        <v>2000</v>
      </c>
      <c r="G41" s="6" t="n">
        <v>2000</v>
      </c>
      <c r="H41" s="7" t="inlineStr"/>
    </row>
    <row r="42">
      <c r="A42" t="inlineStr">
        <is>
          <t>Выручка событий</t>
        </is>
      </c>
      <c r="B42" t="inlineStr">
        <is>
          <t>₽/мес</t>
        </is>
      </c>
      <c r="C42" s="9">
        <f>C39*C40*C41</f>
        <v/>
      </c>
      <c r="D42" s="9">
        <f>D39*D40*D41</f>
        <v/>
      </c>
      <c r="E42" s="9">
        <f>E39*E40*E41</f>
        <v/>
      </c>
      <c r="F42" s="9">
        <f>F39*F40*F41</f>
        <v/>
      </c>
      <c r="G42" s="9">
        <f>G39*G40*G41</f>
        <v/>
      </c>
      <c r="H42" s="7" t="inlineStr"/>
    </row>
    <row r="43">
      <c r="A43" s="5" t="inlineStr">
        <is>
          <t>МЕРЧ И ФИЗИЧЕСКИЙ ПАСПОРТ</t>
        </is>
      </c>
      <c r="B43" s="5" t="inlineStr"/>
      <c r="C43" s="5" t="n"/>
      <c r="D43" s="5" t="n"/>
      <c r="E43" s="5" t="n"/>
      <c r="F43" s="5" t="n"/>
      <c r="G43" s="5" t="n"/>
      <c r="H43" s="5" t="inlineStr"/>
    </row>
    <row r="44">
      <c r="A44" t="inlineStr">
        <is>
          <t>Доля участников, купивших в месяц</t>
        </is>
      </c>
      <c r="B44" t="inlineStr">
        <is>
          <t>%</t>
        </is>
      </c>
      <c r="C44" s="8" t="n">
        <v>0.03</v>
      </c>
      <c r="D44" s="8" t="n">
        <v>0.03</v>
      </c>
      <c r="E44" s="8" t="n">
        <v>0.03</v>
      </c>
      <c r="F44" s="8" t="n">
        <v>0.03</v>
      </c>
      <c r="G44" s="8" t="n">
        <v>0.03</v>
      </c>
      <c r="H44" s="7" t="inlineStr"/>
    </row>
    <row r="45">
      <c r="A45" t="inlineStr">
        <is>
          <t>Доля MAU, купивших в месяц</t>
        </is>
      </c>
      <c r="B45" t="inlineStr">
        <is>
          <t>%</t>
        </is>
      </c>
      <c r="C45" s="8" t="n">
        <v>0.001</v>
      </c>
      <c r="D45" s="8" t="n">
        <v>0.001</v>
      </c>
      <c r="E45" s="8" t="n">
        <v>0.001</v>
      </c>
      <c r="F45" s="8" t="n">
        <v>0.001</v>
      </c>
      <c r="G45" s="8" t="n">
        <v>0.001</v>
      </c>
      <c r="H45" s="7" t="inlineStr"/>
    </row>
    <row r="46">
      <c r="A46" t="inlineStr">
        <is>
          <t>Средний чек мерча</t>
        </is>
      </c>
      <c r="B46" t="inlineStr">
        <is>
          <t>₽</t>
        </is>
      </c>
      <c r="C46" s="6" t="n">
        <v>2500</v>
      </c>
      <c r="D46" s="6" t="n">
        <v>2500</v>
      </c>
      <c r="E46" s="6" t="n">
        <v>2500</v>
      </c>
      <c r="F46" s="6" t="n">
        <v>2500</v>
      </c>
      <c r="G46" s="6" t="n">
        <v>2500</v>
      </c>
      <c r="H46" s="7" t="inlineStr">
        <is>
          <t>Паспорт 1 500, худи 4 900, брелок 1 200</t>
        </is>
      </c>
    </row>
    <row r="47">
      <c r="A47" t="inlineStr">
        <is>
          <t>Выручка мерча</t>
        </is>
      </c>
      <c r="B47" t="inlineStr">
        <is>
          <t>₽/мес</t>
        </is>
      </c>
      <c r="C47" s="9">
        <f>(C19*C44+C8*C45)*C46</f>
        <v/>
      </c>
      <c r="D47" s="9">
        <f>(D19*D44+D8*D45)*D46</f>
        <v/>
      </c>
      <c r="E47" s="9">
        <f>(E19*E44+E8*E45)*E46</f>
        <v/>
      </c>
      <c r="F47" s="9">
        <f>(F19*F44+F8*F45)*F46</f>
        <v/>
      </c>
      <c r="G47" s="9">
        <f>(G19*G44+G8*G45)*G46</f>
        <v/>
      </c>
      <c r="H47" s="7" t="inlineStr"/>
    </row>
    <row r="48">
      <c r="A48" s="5" t="inlineStr">
        <is>
          <t>YURICHRWA И ЦФА (отдельный контур, личная экспертиза)</t>
        </is>
      </c>
      <c r="B48" s="5" t="inlineStr"/>
      <c r="C48" s="5" t="n"/>
      <c r="D48" s="5" t="n"/>
      <c r="E48" s="5" t="n"/>
      <c r="F48" s="5" t="n"/>
      <c r="G48" s="5" t="n"/>
      <c r="H48" s="5" t="inlineStr"/>
    </row>
    <row r="49">
      <c r="A49" t="inlineStr">
        <is>
          <t>Разборов ЦФА в год (80 000 ₽)</t>
        </is>
      </c>
      <c r="B49" t="inlineStr">
        <is>
          <t>шт</t>
        </is>
      </c>
      <c r="C49" s="6" t="n">
        <v>1</v>
      </c>
      <c r="D49" s="6" t="n">
        <v>2</v>
      </c>
      <c r="E49" s="6" t="n">
        <v>4</v>
      </c>
      <c r="F49" s="6" t="n">
        <v>6</v>
      </c>
      <c r="G49" s="6" t="n">
        <v>10</v>
      </c>
      <c r="H49" s="7" t="inlineStr"/>
    </row>
    <row r="50">
      <c r="A50" t="inlineStr">
        <is>
          <t>Сборок выпуска в год (~325 000 ₽)</t>
        </is>
      </c>
      <c r="B50" t="inlineStr">
        <is>
          <t>шт</t>
        </is>
      </c>
      <c r="C50" s="6" t="n">
        <v>0</v>
      </c>
      <c r="D50" s="6" t="n">
        <v>1</v>
      </c>
      <c r="E50" s="6" t="n">
        <v>2</v>
      </c>
      <c r="F50" s="6" t="n">
        <v>3</v>
      </c>
      <c r="G50" s="6" t="n">
        <v>5</v>
      </c>
      <c r="H50" s="7" t="inlineStr">
        <is>
          <t>Середина 250–400 тыс.</t>
        </is>
      </c>
    </row>
    <row r="51">
      <c r="A51" t="inlineStr">
        <is>
          <t>Выручка ЦФА-услуг (среднемесячно)</t>
        </is>
      </c>
      <c r="B51" t="inlineStr">
        <is>
          <t>₽/мес</t>
        </is>
      </c>
      <c r="C51" s="9">
        <f>(C49*80000+C50*325000)/12</f>
        <v/>
      </c>
      <c r="D51" s="9">
        <f>(D49*80000+D50*325000)/12</f>
        <v/>
      </c>
      <c r="E51" s="9">
        <f>(E49*80000+E50*325000)/12</f>
        <v/>
      </c>
      <c r="F51" s="9">
        <f>(F49*80000+F50*325000)/12</f>
        <v/>
      </c>
      <c r="G51" s="9">
        <f>(G49*80000+G50*325000)/12</f>
        <v/>
      </c>
      <c r="H51" s="7" t="inlineStr">
        <is>
          <t>Не зависит от SAI напрямую</t>
        </is>
      </c>
    </row>
    <row r="52">
      <c r="A52" t="inlineStr">
        <is>
          <t>Подписчиков YuRichRWA</t>
        </is>
      </c>
      <c r="B52" t="inlineStr">
        <is>
          <t>чел</t>
        </is>
      </c>
      <c r="C52" s="6" t="n">
        <v>1000</v>
      </c>
      <c r="D52" s="6" t="n">
        <v>2000</v>
      </c>
      <c r="E52" s="6" t="n">
        <v>5000</v>
      </c>
      <c r="F52" s="6" t="n">
        <v>10000</v>
      </c>
      <c r="G52" s="6" t="n">
        <v>20000</v>
      </c>
      <c r="H52" s="7" t="inlineStr"/>
    </row>
    <row r="53">
      <c r="A53" t="inlineStr">
        <is>
          <t>Охват поста</t>
        </is>
      </c>
      <c r="B53" t="inlineStr">
        <is>
          <t>%</t>
        </is>
      </c>
      <c r="C53" s="8" t="n">
        <v>0.3</v>
      </c>
      <c r="D53" s="8" t="n">
        <v>0.3</v>
      </c>
      <c r="E53" s="8" t="n">
        <v>0.3</v>
      </c>
      <c r="F53" s="8" t="n">
        <v>0.3</v>
      </c>
      <c r="G53" s="8" t="n">
        <v>0.3</v>
      </c>
      <c r="H53" s="7" t="inlineStr"/>
    </row>
    <row r="54">
      <c r="A54" t="inlineStr">
        <is>
          <t>CPM ниши RWA/крипто</t>
        </is>
      </c>
      <c r="B54" t="inlineStr">
        <is>
          <t>₽</t>
        </is>
      </c>
      <c r="C54" s="6" t="n">
        <v>1500</v>
      </c>
      <c r="D54" s="6" t="n">
        <v>1500</v>
      </c>
      <c r="E54" s="6" t="n">
        <v>1500</v>
      </c>
      <c r="F54" s="6" t="n">
        <v>1500</v>
      </c>
      <c r="G54" s="6" t="n">
        <v>1500</v>
      </c>
      <c r="H54" s="7" t="inlineStr">
        <is>
          <t>Проверить по прайсам похожих каналов</t>
        </is>
      </c>
    </row>
    <row r="55">
      <c r="A55" t="inlineStr">
        <is>
          <t>Рекламных постов в месяц</t>
        </is>
      </c>
      <c r="B55" t="inlineStr">
        <is>
          <t>шт</t>
        </is>
      </c>
      <c r="C55" s="6" t="n">
        <v>0</v>
      </c>
      <c r="D55" s="6" t="n">
        <v>1</v>
      </c>
      <c r="E55" s="6" t="n">
        <v>3</v>
      </c>
      <c r="F55" s="6" t="n">
        <v>5</v>
      </c>
      <c r="G55" s="6" t="n">
        <v>8</v>
      </c>
      <c r="H55" s="7" t="inlineStr">
        <is>
          <t>Не больше 1 на 6–8 своих</t>
        </is>
      </c>
    </row>
    <row r="56">
      <c r="A56" t="inlineStr">
        <is>
          <t>Выручка рекламы YuRichRWA</t>
        </is>
      </c>
      <c r="B56" t="inlineStr">
        <is>
          <t>₽/мес</t>
        </is>
      </c>
      <c r="C56" s="9">
        <f>C52*C53*C54/1000*C55</f>
        <v/>
      </c>
      <c r="D56" s="9">
        <f>D52*D53*D54/1000*D55</f>
        <v/>
      </c>
      <c r="E56" s="9">
        <f>E52*E53*E54/1000*E55</f>
        <v/>
      </c>
      <c r="F56" s="9">
        <f>F52*F53*F54/1000*F55</f>
        <v/>
      </c>
      <c r="G56" s="9">
        <f>G52*G53*G54/1000*G55</f>
        <v/>
      </c>
      <c r="H56" s="7" t="inlineStr"/>
    </row>
    <row r="57">
      <c r="A57" s="5" t="inlineStr">
        <is>
          <t>ВЫРУЧКА (без расходов)</t>
        </is>
      </c>
      <c r="B57" s="5" t="inlineStr"/>
      <c r="C57" s="5" t="n"/>
      <c r="D57" s="5" t="n"/>
      <c r="E57" s="5" t="n"/>
      <c r="F57" s="5" t="n"/>
      <c r="G57" s="5" t="n"/>
      <c r="H57" s="5" t="inlineStr"/>
    </row>
    <row r="58">
      <c r="A58" s="10" t="inlineStr">
        <is>
          <t>Вся выручка</t>
        </is>
      </c>
      <c r="B58" t="inlineStr">
        <is>
          <t>₽/мес</t>
        </is>
      </c>
      <c r="C58" s="11">
        <f>C23+C34+C37+C42+C47+C51+C56</f>
        <v/>
      </c>
      <c r="D58" s="11">
        <f>D23+D34+D37+D42+D47+D51+D56</f>
        <v/>
      </c>
      <c r="E58" s="11">
        <f>E23+E34+E37+E42+E47+E51+E56</f>
        <v/>
      </c>
      <c r="F58" s="11">
        <f>F23+F34+F37+F42+F47+F51+F56</f>
        <v/>
      </c>
      <c r="G58" s="11">
        <f>G23+G34+G37+G42+G47+G51+G56</f>
        <v/>
      </c>
      <c r="H58" s="7" t="inlineStr"/>
    </row>
    <row r="59">
      <c r="A59" t="inlineStr">
        <is>
          <t xml:space="preserve">  из неё город (SAI + CC)</t>
        </is>
      </c>
      <c r="B59" t="inlineStr">
        <is>
          <t>₽/мес</t>
        </is>
      </c>
      <c r="C59" s="9">
        <f>C23+C34+C37+C42+C47</f>
        <v/>
      </c>
      <c r="D59" s="9">
        <f>D23+D34+D37+D42+D47</f>
        <v/>
      </c>
      <c r="E59" s="9">
        <f>E23+E34+E37+E42+E47</f>
        <v/>
      </c>
      <c r="F59" s="9">
        <f>F23+F34+F37+F42+F47</f>
        <v/>
      </c>
      <c r="G59" s="9">
        <f>G23+G34+G37+G42+G47</f>
        <v/>
      </c>
      <c r="H59" s="7" t="inlineStr"/>
    </row>
    <row r="60">
      <c r="A60" s="10" t="inlineStr">
        <is>
          <t>Вся выручка за год</t>
        </is>
      </c>
      <c r="B60" t="inlineStr">
        <is>
          <t>₽/год</t>
        </is>
      </c>
      <c r="C60" s="11">
        <f>C58*12</f>
        <v/>
      </c>
      <c r="D60" s="11">
        <f>D58*12</f>
        <v/>
      </c>
      <c r="E60" s="11">
        <f>E58*12</f>
        <v/>
      </c>
      <c r="F60" s="11">
        <f>F58*12</f>
        <v/>
      </c>
      <c r="G60" s="11">
        <f>G58*12</f>
        <v/>
      </c>
      <c r="H60" s="7" t="inlineStr"/>
    </row>
    <row r="61">
      <c r="A61" s="5" t="inlineStr">
        <is>
          <t>РАСХОДЫ В МЕСЯЦ</t>
        </is>
      </c>
      <c r="B61" s="5" t="inlineStr"/>
      <c r="C61" s="5" t="n"/>
      <c r="D61" s="5" t="n"/>
      <c r="E61" s="5" t="n"/>
      <c r="F61" s="5" t="n"/>
      <c r="G61" s="5" t="n"/>
      <c r="H61" s="5" t="inlineStr"/>
    </row>
    <row r="62">
      <c r="A62" t="inlineStr">
        <is>
          <t>Сервер, домены, сервисы</t>
        </is>
      </c>
      <c r="B62" t="inlineStr">
        <is>
          <t>₽/мес</t>
        </is>
      </c>
      <c r="C62" s="6" t="n">
        <v>1500</v>
      </c>
      <c r="D62" s="6" t="n">
        <v>2500</v>
      </c>
      <c r="E62" s="6" t="n">
        <v>6000</v>
      </c>
      <c r="F62" s="6" t="n">
        <v>15000</v>
      </c>
      <c r="G62" s="6" t="n">
        <v>40000</v>
      </c>
      <c r="H62" s="7" t="inlineStr"/>
    </row>
    <row r="63">
      <c r="A63" t="inlineStr">
        <is>
          <t>AI (Кира) на 1 MAU</t>
        </is>
      </c>
      <c r="B63" t="inlineStr">
        <is>
          <t>₽</t>
        </is>
      </c>
      <c r="C63" s="6" t="n">
        <v>0</v>
      </c>
      <c r="D63" s="6" t="n">
        <v>0</v>
      </c>
      <c r="E63" s="6" t="n">
        <v>3</v>
      </c>
      <c r="F63" s="6" t="n">
        <v>3</v>
      </c>
      <c r="G63" s="6" t="n">
        <v>3</v>
      </c>
      <c r="H63" s="7" t="inlineStr">
        <is>
          <t>Кира включается с S3</t>
        </is>
      </c>
    </row>
    <row r="64">
      <c r="A64" t="inlineStr">
        <is>
          <t>AI / API</t>
        </is>
      </c>
      <c r="B64" t="inlineStr">
        <is>
          <t>₽/мес</t>
        </is>
      </c>
      <c r="C64" s="9">
        <f>C8*C63</f>
        <v/>
      </c>
      <c r="D64" s="9">
        <f>D8*D63</f>
        <v/>
      </c>
      <c r="E64" s="9">
        <f>E8*E63</f>
        <v/>
      </c>
      <c r="F64" s="9">
        <f>F8*F63</f>
        <v/>
      </c>
      <c r="G64" s="9">
        <f>G8*G63</f>
        <v/>
      </c>
      <c r="H64" s="7" t="inlineStr"/>
    </row>
    <row r="65">
      <c r="A65" t="inlineStr">
        <is>
          <t>Команда (контент, продажи, поддержка, разработка)</t>
        </is>
      </c>
      <c r="B65" t="inlineStr">
        <is>
          <t>₽/мес</t>
        </is>
      </c>
      <c r="C65" s="6" t="n">
        <v>0</v>
      </c>
      <c r="D65" s="6" t="n">
        <v>30000</v>
      </c>
      <c r="E65" s="6" t="n">
        <v>140000</v>
      </c>
      <c r="F65" s="6" t="n">
        <v>400000</v>
      </c>
      <c r="G65" s="6" t="n">
        <v>1200000</v>
      </c>
      <c r="H65" s="7" t="inlineStr">
        <is>
          <t>S1 — всё сам</t>
        </is>
      </c>
    </row>
    <row r="66">
      <c r="A66" t="inlineStr">
        <is>
          <t>Маркетинг: посевы, QR, печать</t>
        </is>
      </c>
      <c r="B66" t="inlineStr">
        <is>
          <t>₽/мес</t>
        </is>
      </c>
      <c r="C66" s="6" t="n">
        <v>10000</v>
      </c>
      <c r="D66" s="6" t="n">
        <v>30000</v>
      </c>
      <c r="E66" s="6" t="n">
        <v>100000</v>
      </c>
      <c r="F66" s="6" t="n">
        <v>200000</v>
      </c>
      <c r="G66" s="6" t="n">
        <v>600000</v>
      </c>
      <c r="H66" s="7" t="inlineStr"/>
    </row>
    <row r="67">
      <c r="A67" t="inlineStr">
        <is>
          <t>Бухгалтерия и юрист</t>
        </is>
      </c>
      <c r="B67" t="inlineStr">
        <is>
          <t>₽/мес</t>
        </is>
      </c>
      <c r="C67" s="6" t="n">
        <v>5000</v>
      </c>
      <c r="D67" s="6" t="n">
        <v>10000</v>
      </c>
      <c r="E67" s="6" t="n">
        <v>20000</v>
      </c>
      <c r="F67" s="6" t="n">
        <v>40000</v>
      </c>
      <c r="G67" s="6" t="n">
        <v>100000</v>
      </c>
      <c r="H67" s="7" t="inlineStr"/>
    </row>
    <row r="68">
      <c r="A68" t="inlineStr">
        <is>
          <t>Защита прав (ТЗ, ПО, БД) — разово, на 12 мес.</t>
        </is>
      </c>
      <c r="B68" t="inlineStr">
        <is>
          <t>₽/мес</t>
        </is>
      </c>
      <c r="C68" s="6" t="n">
        <v>12500</v>
      </c>
      <c r="D68" s="6" t="n">
        <v>12500</v>
      </c>
      <c r="E68" s="6" t="n">
        <v>0</v>
      </c>
      <c r="F68" s="6" t="n">
        <v>0</v>
      </c>
      <c r="G68" s="6" t="n">
        <v>25000</v>
      </c>
      <c r="H68" s="7" t="inlineStr">
        <is>
          <t>~150 тыс. РФ; S5 — международка</t>
        </is>
      </c>
    </row>
    <row r="69">
      <c r="A69" t="inlineStr">
        <is>
          <t>Фикс. взносы ИП за себя</t>
        </is>
      </c>
      <c r="B69" t="inlineStr">
        <is>
          <t>₽/мес</t>
        </is>
      </c>
      <c r="C69" s="6" t="n">
        <v>4750</v>
      </c>
      <c r="D69" s="6" t="n">
        <v>4750</v>
      </c>
      <c r="E69" s="6" t="n">
        <v>4750</v>
      </c>
      <c r="F69" s="6" t="n">
        <v>4750</v>
      </c>
      <c r="G69" s="6" t="n">
        <v>4750</v>
      </c>
      <c r="H69" s="7" t="inlineStr">
        <is>
          <t>~55–60 тыс./год, уточнять</t>
        </is>
      </c>
    </row>
    <row r="70">
      <c r="A70" t="inlineStr">
        <is>
          <t>Эквайринг</t>
        </is>
      </c>
      <c r="B70" t="inlineStr">
        <is>
          <t>%</t>
        </is>
      </c>
      <c r="C70" s="8" t="n">
        <v>0.03</v>
      </c>
      <c r="D70" s="8" t="n">
        <v>0.03</v>
      </c>
      <c r="E70" s="8" t="n">
        <v>0.03</v>
      </c>
      <c r="F70" s="8" t="n">
        <v>0.03</v>
      </c>
      <c r="G70" s="8" t="n">
        <v>0.03</v>
      </c>
      <c r="H70" s="7" t="inlineStr"/>
    </row>
    <row r="71">
      <c r="A71" t="inlineStr">
        <is>
          <t>Комиссия за приём платежей</t>
        </is>
      </c>
      <c r="B71" t="inlineStr">
        <is>
          <t>₽/мес</t>
        </is>
      </c>
      <c r="C71" s="9">
        <f>C70*(C23+C42+C47)</f>
        <v/>
      </c>
      <c r="D71" s="9">
        <f>D70*(D23+D42+D47)</f>
        <v/>
      </c>
      <c r="E71" s="9">
        <f>E70*(E23+E42+E47)</f>
        <v/>
      </c>
      <c r="F71" s="9">
        <f>F70*(F23+F42+F47)</f>
        <v/>
      </c>
      <c r="G71" s="9">
        <f>G70*(G23+G42+G47)</f>
        <v/>
      </c>
      <c r="H71" s="7" t="inlineStr"/>
    </row>
    <row r="72">
      <c r="A72" t="inlineStr">
        <is>
          <t>Себестоимость событий</t>
        </is>
      </c>
      <c r="B72" t="inlineStr">
        <is>
          <t>%</t>
        </is>
      </c>
      <c r="C72" s="8" t="n">
        <v>0.65</v>
      </c>
      <c r="D72" s="8" t="n">
        <v>0.65</v>
      </c>
      <c r="E72" s="8" t="n">
        <v>0.65</v>
      </c>
      <c r="F72" s="8" t="n">
        <v>0.65</v>
      </c>
      <c r="G72" s="8" t="n">
        <v>0.65</v>
      </c>
      <c r="H72" s="7" t="inlineStr">
        <is>
          <t>Аренда, еда, ведущий</t>
        </is>
      </c>
    </row>
    <row r="73">
      <c r="A73" t="inlineStr">
        <is>
          <t>Себестоимость мерча</t>
        </is>
      </c>
      <c r="B73" t="inlineStr">
        <is>
          <t>%</t>
        </is>
      </c>
      <c r="C73" s="8" t="n">
        <v>0.45</v>
      </c>
      <c r="D73" s="8" t="n">
        <v>0.45</v>
      </c>
      <c r="E73" s="8" t="n">
        <v>0.45</v>
      </c>
      <c r="F73" s="8" t="n">
        <v>0.45</v>
      </c>
      <c r="G73" s="8" t="n">
        <v>0.45</v>
      </c>
      <c r="H73" s="7" t="inlineStr"/>
    </row>
    <row r="74">
      <c r="A74" t="inlineStr">
        <is>
          <t>Себестоимость съёмки</t>
        </is>
      </c>
      <c r="B74" t="inlineStr">
        <is>
          <t>%</t>
        </is>
      </c>
      <c r="C74" s="8" t="n">
        <v>0.4</v>
      </c>
      <c r="D74" s="8" t="n">
        <v>0.4</v>
      </c>
      <c r="E74" s="8" t="n">
        <v>0.4</v>
      </c>
      <c r="F74" s="8" t="n">
        <v>0.4</v>
      </c>
      <c r="G74" s="8" t="n">
        <v>0.4</v>
      </c>
      <c r="H74" s="7" t="inlineStr">
        <is>
          <t>Оператор / доля партнёра</t>
        </is>
      </c>
    </row>
    <row r="75">
      <c r="A75" t="inlineStr">
        <is>
          <t>Себестоимость (события, мерч, съёмки)</t>
        </is>
      </c>
      <c r="B75" t="inlineStr">
        <is>
          <t>₽/мес</t>
        </is>
      </c>
      <c r="C75" s="9">
        <f>C42*C72+C47*C73+C37*C74</f>
        <v/>
      </c>
      <c r="D75" s="9">
        <f>D42*D72+D47*D73+D37*D74</f>
        <v/>
      </c>
      <c r="E75" s="9">
        <f>E42*E72+E47*E73+E37*E74</f>
        <v/>
      </c>
      <c r="F75" s="9">
        <f>F42*F72+F47*F73+F37*F74</f>
        <v/>
      </c>
      <c r="G75" s="9">
        <f>G42*G72+G47*G73+G37*G74</f>
        <v/>
      </c>
      <c r="H75" s="7" t="inlineStr"/>
    </row>
    <row r="76">
      <c r="A76" t="inlineStr">
        <is>
          <t>Отчисление 3% с интернет-рекламы</t>
        </is>
      </c>
      <c r="B76" t="inlineStr">
        <is>
          <t>₽/мес</t>
        </is>
      </c>
      <c r="C76" s="9">
        <f>0.03*(C34+C56)</f>
        <v/>
      </c>
      <c r="D76" s="9">
        <f>0.03*(D34+D56)</f>
        <v/>
      </c>
      <c r="E76" s="9">
        <f>0.03*(E34+E56)</f>
        <v/>
      </c>
      <c r="F76" s="9">
        <f>0.03*(F34+F56)</f>
        <v/>
      </c>
      <c r="G76" s="9">
        <f>0.03*(G34+G56)</f>
        <v/>
      </c>
      <c r="H76" s="7" t="inlineStr">
        <is>
          <t>ст. 18.2 закона «О рекламе»</t>
        </is>
      </c>
    </row>
    <row r="77">
      <c r="A77" t="inlineStr">
        <is>
          <t>Налог УСН «доходы»</t>
        </is>
      </c>
      <c r="B77" t="inlineStr">
        <is>
          <t>%</t>
        </is>
      </c>
      <c r="C77" s="8" t="n">
        <v>0.06</v>
      </c>
      <c r="D77" s="8" t="n">
        <v>0.06</v>
      </c>
      <c r="E77" s="8" t="n">
        <v>0.06</v>
      </c>
      <c r="F77" s="8" t="n">
        <v>0.06</v>
      </c>
      <c r="G77" s="8" t="n">
        <v>0.06</v>
      </c>
      <c r="H77" s="7" t="inlineStr"/>
    </row>
    <row r="78">
      <c r="A78" t="inlineStr">
        <is>
          <t>Налог</t>
        </is>
      </c>
      <c r="B78" t="inlineStr">
        <is>
          <t>₽/мес</t>
        </is>
      </c>
      <c r="C78" s="9">
        <f>C58*C77</f>
        <v/>
      </c>
      <c r="D78" s="9">
        <f>D58*D77</f>
        <v/>
      </c>
      <c r="E78" s="9">
        <f>E58*E77</f>
        <v/>
      </c>
      <c r="F78" s="9">
        <f>F58*F77</f>
        <v/>
      </c>
      <c r="G78" s="9">
        <f>G58*G77</f>
        <v/>
      </c>
      <c r="H78" s="7" t="inlineStr"/>
    </row>
    <row r="79">
      <c r="A79" s="10" t="inlineStr">
        <is>
          <t>Все расходы</t>
        </is>
      </c>
      <c r="B79" t="inlineStr">
        <is>
          <t>₽/мес</t>
        </is>
      </c>
      <c r="C79" s="11">
        <f>C62+C64+C65+C66+C67+C68+C69+C71+C75+C76+C78</f>
        <v/>
      </c>
      <c r="D79" s="11">
        <f>D62+D64+D65+D66+D67+D68+D69+D71+D75+D76+D78</f>
        <v/>
      </c>
      <c r="E79" s="11">
        <f>E62+E64+E65+E66+E67+E68+E69+E71+E75+E76+E78</f>
        <v/>
      </c>
      <c r="F79" s="11">
        <f>F62+F64+F65+F66+F67+F68+F69+F71+F75+F76+F78</f>
        <v/>
      </c>
      <c r="G79" s="11">
        <f>G62+G64+G65+G66+G67+G68+G69+G71+G75+G76+G78</f>
        <v/>
      </c>
      <c r="H79" s="7" t="inlineStr"/>
    </row>
    <row r="80">
      <c r="A80" s="5" t="inlineStr">
        <is>
          <t>РЕЗУЛЬТАТ (с расходами)</t>
        </is>
      </c>
      <c r="B80" s="5" t="inlineStr"/>
      <c r="C80" s="5" t="n"/>
      <c r="D80" s="5" t="n"/>
      <c r="E80" s="5" t="n"/>
      <c r="F80" s="5" t="n"/>
      <c r="G80" s="5" t="n"/>
      <c r="H80" s="5" t="inlineStr"/>
    </row>
    <row r="81">
      <c r="A81" s="10" t="inlineStr">
        <is>
          <t>Прибыль в месяц</t>
        </is>
      </c>
      <c r="B81" t="inlineStr">
        <is>
          <t>₽/мес</t>
        </is>
      </c>
      <c r="C81" s="11">
        <f>C58-C79</f>
        <v/>
      </c>
      <c r="D81" s="11">
        <f>D58-D79</f>
        <v/>
      </c>
      <c r="E81" s="11">
        <f>E58-E79</f>
        <v/>
      </c>
      <c r="F81" s="11">
        <f>F58-F79</f>
        <v/>
      </c>
      <c r="G81" s="11">
        <f>G58-G79</f>
        <v/>
      </c>
      <c r="H81" s="7" t="inlineStr"/>
    </row>
    <row r="82">
      <c r="A82" s="10" t="inlineStr">
        <is>
          <t>Прибыль за год</t>
        </is>
      </c>
      <c r="B82" t="inlineStr">
        <is>
          <t>₽/год</t>
        </is>
      </c>
      <c r="C82" s="11">
        <f>C81*12</f>
        <v/>
      </c>
      <c r="D82" s="11">
        <f>D81*12</f>
        <v/>
      </c>
      <c r="E82" s="11">
        <f>E81*12</f>
        <v/>
      </c>
      <c r="F82" s="11">
        <f>F81*12</f>
        <v/>
      </c>
      <c r="G82" s="11">
        <f>G81*12</f>
        <v/>
      </c>
      <c r="H82" s="7" t="inlineStr"/>
    </row>
    <row r="83">
      <c r="A83" t="inlineStr">
        <is>
          <t>Маржа</t>
        </is>
      </c>
      <c r="B83" t="inlineStr">
        <is>
          <t>%</t>
        </is>
      </c>
      <c r="C83" s="13">
        <f>IF(C58=0,0,C81/C58)</f>
        <v/>
      </c>
      <c r="D83" s="13">
        <f>IF(D58=0,0,D81/D58)</f>
        <v/>
      </c>
      <c r="E83" s="13">
        <f>IF(E58=0,0,E81/E58)</f>
        <v/>
      </c>
      <c r="F83" s="13">
        <f>IF(F58=0,0,F81/F58)</f>
        <v/>
      </c>
      <c r="G83" s="13">
        <f>IF(G58=0,0,G81/G58)</f>
        <v/>
      </c>
      <c r="H83" s="7" t="inlineStr"/>
    </row>
    <row r="84">
      <c r="A84" s="10" t="inlineStr">
        <is>
          <t>Прибыль города без ЦФА-услуг</t>
        </is>
      </c>
      <c r="B84" t="inlineStr">
        <is>
          <t>₽/мес</t>
        </is>
      </c>
      <c r="C84" s="11">
        <f>C81-C51*(1-C77)</f>
        <v/>
      </c>
      <c r="D84" s="11">
        <f>D81-D51*(1-D77)</f>
        <v/>
      </c>
      <c r="E84" s="11">
        <f>E81-E51*(1-E77)</f>
        <v/>
      </c>
      <c r="F84" s="11">
        <f>F81-F51*(1-F77)</f>
        <v/>
      </c>
      <c r="G84" s="11">
        <f>G81-G51*(1-G77)</f>
        <v/>
      </c>
      <c r="H84" s="7" t="inlineStr">
        <is>
          <t>Сколько зарабатывает сама городская часть</t>
        </is>
      </c>
    </row>
    <row r="85">
      <c r="A85" s="5" t="inlineStr">
        <is>
          <t>НАГРУЗКА (часы в месяц)</t>
        </is>
      </c>
      <c r="B85" s="5" t="inlineStr"/>
      <c r="C85" s="5" t="n"/>
      <c r="D85" s="5" t="n"/>
      <c r="E85" s="5" t="n"/>
      <c r="F85" s="5" t="n"/>
      <c r="G85" s="5" t="n"/>
      <c r="H85" s="5" t="inlineStr"/>
    </row>
    <row r="86">
      <c r="A86" t="inlineStr">
        <is>
          <t>Поддержка пользователей и участников</t>
        </is>
      </c>
      <c r="B86" t="inlineStr">
        <is>
          <t>ч</t>
        </is>
      </c>
      <c r="C86" s="9">
        <f>(C8*0.02+C19*0.1)*0.25</f>
        <v/>
      </c>
      <c r="D86" s="9">
        <f>(D8*0.02+D19*0.1)*0.25</f>
        <v/>
      </c>
      <c r="E86" s="9">
        <f>(E8*0.02+E19*0.1)*0.25</f>
        <v/>
      </c>
      <c r="F86" s="9">
        <f>(F8*0.02+F19*0.1)*0.25</f>
        <v/>
      </c>
      <c r="G86" s="9">
        <f>(G8*0.02+G19*0.1)*0.25</f>
        <v/>
      </c>
      <c r="H86" s="7" t="inlineStr">
        <is>
          <t>2% MAU и 10% участников пишут, 15 мин на обращение</t>
        </is>
      </c>
    </row>
    <row r="87">
      <c r="A87" t="inlineStr">
        <is>
          <t>Работа с партнёрами</t>
        </is>
      </c>
      <c r="B87" t="inlineStr">
        <is>
          <t>ч</t>
        </is>
      </c>
      <c r="C87" s="9">
        <f>C7*3</f>
        <v/>
      </c>
      <c r="D87" s="9">
        <f>D7*3</f>
        <v/>
      </c>
      <c r="E87" s="9">
        <f>E7*3</f>
        <v/>
      </c>
      <c r="F87" s="9">
        <f>F7*3</f>
        <v/>
      </c>
      <c r="G87" s="9">
        <f>G7*3</f>
        <v/>
      </c>
      <c r="H87" s="7" t="inlineStr">
        <is>
          <t>3 ч на точку: условия, персонал, визиты</t>
        </is>
      </c>
    </row>
    <row r="88">
      <c r="A88" t="inlineStr">
        <is>
          <t>Модерация мест и предложений</t>
        </is>
      </c>
      <c r="B88" t="inlineStr">
        <is>
          <t>ч</t>
        </is>
      </c>
      <c r="C88" s="9">
        <f>C8*0.01*0.2</f>
        <v/>
      </c>
      <c r="D88" s="9">
        <f>D8*0.01*0.2</f>
        <v/>
      </c>
      <c r="E88" s="9">
        <f>E8*0.01*0.2</f>
        <v/>
      </c>
      <c r="F88" s="9">
        <f>F8*0.01*0.2</f>
        <v/>
      </c>
      <c r="G88" s="9">
        <f>G8*0.01*0.2</f>
        <v/>
      </c>
      <c r="H88" s="7" t="inlineStr"/>
    </row>
    <row r="89">
      <c r="A89" t="inlineStr">
        <is>
          <t>Контент: посты, обложки, события</t>
        </is>
      </c>
      <c r="B89" t="inlineStr">
        <is>
          <t>ч</t>
        </is>
      </c>
      <c r="C89" s="6" t="n">
        <v>20</v>
      </c>
      <c r="D89" s="6" t="n">
        <v>30</v>
      </c>
      <c r="E89" s="6" t="n">
        <v>60</v>
      </c>
      <c r="F89" s="6" t="n">
        <v>100</v>
      </c>
      <c r="G89" s="6" t="n">
        <v>250</v>
      </c>
      <c r="H89" s="7" t="inlineStr"/>
    </row>
    <row r="90">
      <c r="A90" t="inlineStr">
        <is>
          <t>События</t>
        </is>
      </c>
      <c r="B90" t="inlineStr">
        <is>
          <t>ч</t>
        </is>
      </c>
      <c r="C90" s="9">
        <f>C39*12</f>
        <v/>
      </c>
      <c r="D90" s="9">
        <f>D39*12</f>
        <v/>
      </c>
      <c r="E90" s="9">
        <f>E39*12</f>
        <v/>
      </c>
      <c r="F90" s="9">
        <f>F39*12</f>
        <v/>
      </c>
      <c r="G90" s="9">
        <f>G39*12</f>
        <v/>
      </c>
      <c r="H90" s="7" t="inlineStr">
        <is>
          <t>12 ч на событие</t>
        </is>
      </c>
    </row>
    <row r="91">
      <c r="A91" s="10" t="inlineStr">
        <is>
          <t>Всего часов</t>
        </is>
      </c>
      <c r="B91" t="inlineStr">
        <is>
          <t>ч</t>
        </is>
      </c>
      <c r="C91" s="11">
        <f>C86+C87+C88+C89+C90</f>
        <v/>
      </c>
      <c r="D91" s="11">
        <f>D86+D87+D88+D89+D90</f>
        <v/>
      </c>
      <c r="E91" s="11">
        <f>E86+E87+E88+E89+E90</f>
        <v/>
      </c>
      <c r="F91" s="11">
        <f>F86+F87+F88+F89+F90</f>
        <v/>
      </c>
      <c r="G91" s="11">
        <f>G86+G87+G88+G89+G90</f>
        <v/>
      </c>
      <c r="H91" s="7" t="inlineStr"/>
    </row>
    <row r="92">
      <c r="A92" s="10" t="inlineStr">
        <is>
          <t>Людей на полный день (160 ч)</t>
        </is>
      </c>
      <c r="B92" t="inlineStr">
        <is>
          <t>чел</t>
        </is>
      </c>
      <c r="C92" s="14">
        <f>C91/160</f>
        <v/>
      </c>
      <c r="D92" s="14">
        <f>D91/160</f>
        <v/>
      </c>
      <c r="E92" s="14">
        <f>E91/160</f>
        <v/>
      </c>
      <c r="F92" s="14">
        <f>F91/160</f>
        <v/>
      </c>
      <c r="G92" s="14">
        <f>G91/160</f>
        <v/>
      </c>
      <c r="H92" s="7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34" customWidth="1" min="1" max="1"/>
    <col width="36" customWidth="1" min="2" max="2"/>
    <col width="18" customWidth="1" min="3" max="3"/>
    <col width="18" customWidth="1" min="4" max="4"/>
    <col width="10" customWidth="1" min="5" max="5"/>
    <col width="20" customWidth="1" min="6" max="6"/>
    <col width="14" customWidth="1" min="7" max="7"/>
    <col width="16" customWidth="1" min="8" max="8"/>
    <col width="10" customWidth="1" min="9" max="9"/>
  </cols>
  <sheetData>
    <row r="1">
      <c r="A1" s="1" t="inlineStr">
        <is>
          <t>Калькулятор долей: динамическая модель (Slicing Pie)</t>
        </is>
      </c>
    </row>
    <row r="2" ht="45" customHeight="1">
      <c r="A2" s="15" t="inlineStr">
        <is>
          <t>Вклад считается по рыночной цене. Неоплаченное время и ресурсы ×2, живые деньги ×4 (риск выше). Доля = вклад участника / сумма вкладов. Итог — ориентир для переговоров, а не автоматическое решение.</t>
        </is>
      </c>
    </row>
    <row r="4" ht="48" customHeight="1">
      <c r="A4" s="16" t="inlineStr">
        <is>
          <t>Участник</t>
        </is>
      </c>
      <c r="B4" s="16" t="inlineStr">
        <is>
          <t>Роль</t>
        </is>
      </c>
      <c r="C4" s="16" t="inlineStr">
        <is>
          <t>Неоплач. время, ₽/мес (рынок)</t>
        </is>
      </c>
      <c r="D4" s="16" t="inlineStr">
        <is>
          <t>Ресурсы, ₽/мес (аренда по рынку)</t>
        </is>
      </c>
      <c r="E4" s="16" t="inlineStr">
        <is>
          <t>Месяцев</t>
        </is>
      </c>
      <c r="F4" s="16" t="inlineStr">
        <is>
          <t>Разовый вклад (IP, оборудование), ₽</t>
        </is>
      </c>
      <c r="G4" s="16" t="inlineStr">
        <is>
          <t>Деньги, ₽</t>
        </is>
      </c>
      <c r="H4" s="16" t="inlineStr">
        <is>
          <t>Вклад (слайсы)</t>
        </is>
      </c>
      <c r="I4" s="16" t="inlineStr">
        <is>
          <t>Доля</t>
        </is>
      </c>
    </row>
    <row r="5">
      <c r="A5" t="inlineStr">
        <is>
          <t>YuRich (основатель)</t>
        </is>
      </c>
      <c r="B5" t="inlineStr">
        <is>
          <t>Продукт, бренд, бот, база, сайт, продажи</t>
        </is>
      </c>
      <c r="C5" s="17" t="n">
        <v>150000</v>
      </c>
      <c r="D5" s="17" t="n">
        <v>0</v>
      </c>
      <c r="E5" s="17" t="n">
        <v>12</v>
      </c>
      <c r="F5" s="17" t="n">
        <v>1500000</v>
      </c>
      <c r="G5" s="17" t="n">
        <v>300000</v>
      </c>
      <c r="H5" s="18">
        <f>2*(C5+D5)*E5+2*F5+4*G5</f>
        <v/>
      </c>
      <c r="I5" s="19">
        <f>IF(SUM($H$5:$H$8)=0,0,H5/SUM($H$5:$H$8))</f>
        <v/>
      </c>
    </row>
    <row r="6">
      <c r="A6" t="inlineStr">
        <is>
          <t>Партнёр по оборудованию и контенту</t>
        </is>
      </c>
      <c r="B6" t="inlineStr">
        <is>
          <t>Камера, свет, звук, монтаж, съёмки</t>
        </is>
      </c>
      <c r="C6" s="17" t="n">
        <v>0</v>
      </c>
      <c r="D6" s="17" t="n">
        <v>40000</v>
      </c>
      <c r="E6" s="17" t="n">
        <v>12</v>
      </c>
      <c r="F6" s="17" t="n">
        <v>0</v>
      </c>
      <c r="G6" s="17" t="n">
        <v>0</v>
      </c>
      <c r="H6" s="18">
        <f>2*(C6+D6)*E6+2*F6+4*G6</f>
        <v/>
      </c>
      <c r="I6" s="19">
        <f>IF(SUM($H$5:$H$8)=0,0,H6/SUM($H$5:$H$8))</f>
        <v/>
      </c>
    </row>
    <row r="7">
      <c r="A7" t="inlineStr">
        <is>
          <t>Партнёр по событиям и офису</t>
        </is>
      </c>
      <c r="B7" t="inlineStr">
        <is>
          <t>Площадка для событий, рабочее место</t>
        </is>
      </c>
      <c r="C7" s="17" t="n">
        <v>0</v>
      </c>
      <c r="D7" s="17" t="n">
        <v>60000</v>
      </c>
      <c r="E7" s="17" t="n">
        <v>12</v>
      </c>
      <c r="F7" s="17" t="n">
        <v>0</v>
      </c>
      <c r="G7" s="17" t="n">
        <v>0</v>
      </c>
      <c r="H7" s="18">
        <f>2*(C7+D7)*E7+2*F7+4*G7</f>
        <v/>
      </c>
      <c r="I7" s="19">
        <f>IF(SUM($H$5:$H$8)=0,0,H7/SUM($H$5:$H$8))</f>
        <v/>
      </c>
    </row>
    <row r="8">
      <c r="A8" t="inlineStr">
        <is>
          <t>(резерв) Технический партнёр</t>
        </is>
      </c>
      <c r="B8" t="inlineStr">
        <is>
          <t>Разработка, сервер</t>
        </is>
      </c>
      <c r="C8" s="17" t="n">
        <v>0</v>
      </c>
      <c r="D8" s="17" t="n">
        <v>0</v>
      </c>
      <c r="E8" s="17" t="n">
        <v>0</v>
      </c>
      <c r="F8" s="17" t="n">
        <v>0</v>
      </c>
      <c r="G8" s="17" t="n">
        <v>0</v>
      </c>
      <c r="H8" s="18">
        <f>2*(C8+D8)*E8+2*F8+4*G8</f>
        <v/>
      </c>
      <c r="I8" s="19">
        <f>IF(SUM($H$5:$H$8)=0,0,H8/SUM($H$5:$H$8))</f>
        <v/>
      </c>
    </row>
    <row r="9">
      <c r="G9" s="10" t="inlineStr">
        <is>
          <t>Итого</t>
        </is>
      </c>
      <c r="H9" s="18">
        <f>SUM(H5:H8)</f>
        <v/>
      </c>
      <c r="I9" s="19">
        <f>SUM(I5:I8)</f>
        <v/>
      </c>
    </row>
    <row r="11">
      <c r="A11" s="10" t="inlineStr">
        <is>
          <t>Ограничители (рекомендация)</t>
        </is>
      </c>
    </row>
    <row r="12" ht="32" customHeight="1">
      <c r="A12" s="15" t="inlineStr">
        <is>
          <t>1. Пул стратегических партнёров — не больше 10–15% на всех. Если калькулятор даёт больше — часть вклада платим бартером (реклама, место в логотипе, мерч), а не долей.</t>
        </is>
      </c>
    </row>
    <row r="13" ht="32" customHeight="1">
      <c r="A13" s="15" t="inlineStr">
        <is>
          <t>2. Вестинг 24–36 месяцев, первые 6–12 месяцев «клифф»: ушёл раньше — доли нет, вклад закрываем бартером.</t>
        </is>
      </c>
    </row>
    <row r="14" ht="32" customHeight="1">
      <c r="A14" s="15" t="inlineStr">
        <is>
          <t>3. Доля возможна только в юрлице (ООО). Пока ты физлицо — опционный договор (ст. 429.2 ГК) или договор о выручке, и только после регистрации ООО — доля.</t>
        </is>
      </c>
    </row>
    <row r="15" ht="32" customHeight="1">
      <c r="A15" s="15" t="inlineStr">
        <is>
          <t>4. Доля — в той компании, где лежат права (товарные знаки, ПО, база). Не дробить на «долю в боте» и «долю в клубе».</t>
        </is>
      </c>
    </row>
    <row r="16" ht="32" customHeight="1">
      <c r="A16" s="15" t="inlineStr">
        <is>
          <t>5. Альтернатива доле — revenue share: % от выручки конкретного направления (например, 20–30% от съёмок, где работает оборудование партнёра), с потолком и сроком.</t>
        </is>
      </c>
    </row>
  </sheetData>
  <mergeCells count="6">
    <mergeCell ref="A15:I15"/>
    <mergeCell ref="A2:I2"/>
    <mergeCell ref="A13:I13"/>
    <mergeCell ref="A14:I14"/>
    <mergeCell ref="A12:I12"/>
    <mergeCell ref="A16:I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16" customWidth="1" min="1" max="1"/>
    <col width="52" customWidth="1" min="2" max="2"/>
    <col width="22" customWidth="1" min="3" max="3"/>
    <col width="20" customWidth="1" min="4" max="4"/>
    <col width="48" customWidth="1" min="5" max="5"/>
  </cols>
  <sheetData>
    <row r="1">
      <c r="A1" s="3" t="inlineStr">
        <is>
          <t>Продукт</t>
        </is>
      </c>
      <c r="B1" s="3" t="inlineStr">
        <is>
          <t>Формат</t>
        </is>
      </c>
      <c r="C1" s="3" t="inlineStr">
        <is>
          <t>Партнёр City Code</t>
        </is>
      </c>
      <c r="D1" s="3" t="inlineStr">
        <is>
          <t>Не партнёр</t>
        </is>
      </c>
      <c r="E1" s="3" t="inlineStr">
        <is>
          <t>Комментарий</t>
        </is>
      </c>
    </row>
    <row r="2">
      <c r="A2" t="inlineStr">
        <is>
          <t>City Code</t>
        </is>
      </c>
      <c r="B2" t="inlineStr">
        <is>
          <t>Членство Basic</t>
        </is>
      </c>
      <c r="C2" t="inlineStr">
        <is>
          <t>5 108 ₽/год</t>
        </is>
      </c>
      <c r="D2" t="inlineStr">
        <is>
          <t>—</t>
        </is>
      </c>
      <c r="E2" t="inlineStr">
        <is>
          <t>Зафиксировано v1.0</t>
        </is>
      </c>
    </row>
    <row r="3">
      <c r="A3" t="inlineStr">
        <is>
          <t>City Code</t>
        </is>
      </c>
      <c r="B3" t="inlineStr">
        <is>
          <t>Членство «Основатели»</t>
        </is>
      </c>
      <c r="C3" t="inlineStr">
        <is>
          <t>15 108 ₽/год</t>
        </is>
      </c>
      <c r="D3" t="inlineStr">
        <is>
          <t>—</t>
        </is>
      </c>
      <c r="E3" t="inlineStr">
        <is>
          <t>50 мест, цена навсегда</t>
        </is>
      </c>
    </row>
    <row r="4">
      <c r="A4" t="inlineStr">
        <is>
          <t>City Code</t>
        </is>
      </c>
      <c r="B4" t="inlineStr">
        <is>
          <t>Вход партнёра в Partner Circle</t>
        </is>
      </c>
      <c r="C4" t="inlineStr">
        <is>
          <t>0 ₽</t>
        </is>
      </c>
      <c r="D4" t="inlineStr">
        <is>
          <t>—</t>
        </is>
      </c>
      <c r="E4" t="inlineStr">
        <is>
          <t>v1.0: без комиссии и платы за вход</t>
        </is>
      </c>
    </row>
    <row r="5">
      <c r="A5" t="inlineStr">
        <is>
          <t>City Code</t>
        </is>
      </c>
      <c r="B5" t="inlineStr">
        <is>
          <t>Ячейка в логотипе «C»</t>
        </is>
      </c>
      <c r="C5" t="inlineStr">
        <is>
          <t>не продаётся</t>
        </is>
      </c>
      <c r="D5" t="inlineStr">
        <is>
          <t>—</t>
        </is>
      </c>
      <c r="E5" t="inlineStr">
        <is>
          <t>Статус партнёра, первые 20 мест</t>
        </is>
      </c>
    </row>
    <row r="6">
      <c r="A6" t="inlineStr">
        <is>
          <t>City Code</t>
        </is>
      </c>
      <c r="B6" t="inlineStr">
        <is>
          <t>Спонсорство закрытого события</t>
        </is>
      </c>
      <c r="C6" t="inlineStr">
        <is>
          <t>10–30 тыс. ₽</t>
        </is>
      </c>
      <c r="D6" t="inlineStr">
        <is>
          <t>20–50 тыс. ₽</t>
        </is>
      </c>
      <c r="E6" t="inlineStr">
        <is>
          <t>Партнёр / внешний бренд</t>
        </is>
      </c>
    </row>
    <row r="7">
      <c r="A7" t="inlineStr">
        <is>
          <t>Sevastopol AI</t>
        </is>
      </c>
      <c r="B7" t="inlineStr">
        <is>
          <t>Карточка места в боте</t>
        </is>
      </c>
      <c r="C7" t="inlineStr">
        <is>
          <t>0 ₽</t>
        </is>
      </c>
      <c r="D7" t="inlineStr">
        <is>
          <t>0 ₽</t>
        </is>
      </c>
      <c r="E7" t="inlineStr">
        <is>
          <t>Редакционный отбор. Деньги не влияют на попадание</t>
        </is>
      </c>
    </row>
    <row r="8">
      <c r="A8" t="inlineStr">
        <is>
          <t>Sevastopol AI</t>
        </is>
      </c>
      <c r="B8" t="inlineStr">
        <is>
          <t>«Рекомендуем» в категории, 7 дней (с пометкой «Реклама»)</t>
        </is>
      </c>
      <c r="C8" t="inlineStr">
        <is>
          <t>1 500 ₽</t>
        </is>
      </c>
      <c r="D8" t="inlineStr">
        <is>
          <t>3 000 ₽</t>
        </is>
      </c>
      <c r="E8" t="inlineStr">
        <is>
          <t>Цена S1–S2, растёт с MAU</t>
        </is>
      </c>
    </row>
    <row r="9">
      <c r="A9" t="inlineStr">
        <is>
          <t>Sevastopol AI</t>
        </is>
      </c>
      <c r="B9" t="inlineStr">
        <is>
          <t>Пост в канале Sevastopol AI</t>
        </is>
      </c>
      <c r="C9" t="inlineStr">
        <is>
          <t>1 500–2 500 ₽</t>
        </is>
      </c>
      <c r="D9" t="inlineStr">
        <is>
          <t>3 000–5 000 ₽</t>
        </is>
      </c>
      <c r="E9" t="inlineStr">
        <is>
          <t>Маркировка erid обязательна</t>
        </is>
      </c>
    </row>
    <row r="10">
      <c r="A10" t="inlineStr">
        <is>
          <t>Sevastopol AI</t>
        </is>
      </c>
      <c r="B10" t="inlineStr">
        <is>
          <t>Подборка / гид (3–5 мест)</t>
        </is>
      </c>
      <c r="C10" t="inlineStr">
        <is>
          <t>5 000 ₽</t>
        </is>
      </c>
      <c r="D10" t="inlineStr">
        <is>
          <t>10 000–15 000 ₽</t>
        </is>
      </c>
      <c r="E10" t="inlineStr">
        <is>
          <t>Спецпроект</t>
        </is>
      </c>
    </row>
    <row r="11">
      <c r="A11" t="inlineStr">
        <is>
          <t>Sevastopol AI</t>
        </is>
      </c>
      <c r="B11" t="inlineStr">
        <is>
          <t>Включение точки в маршрут</t>
        </is>
      </c>
      <c r="C11" t="inlineStr">
        <is>
          <t>3 000 ₽</t>
        </is>
      </c>
      <c r="D11" t="inlineStr">
        <is>
          <t>5 000 ₽</t>
        </is>
      </c>
      <c r="E11" t="inlineStr">
        <is>
          <t>Только если точка реально по пути</t>
        </is>
      </c>
    </row>
    <row r="12">
      <c r="A12" t="inlineStr">
        <is>
          <t>Sevastopol AI</t>
        </is>
      </c>
      <c r="B12" t="inlineStr">
        <is>
          <t>Анонс события в боте и канале</t>
        </is>
      </c>
      <c r="C12" t="inlineStr">
        <is>
          <t>1 раз в мес. бесплатно</t>
        </is>
      </c>
      <c r="D12" t="inlineStr">
        <is>
          <t>1 500 ₽</t>
        </is>
      </c>
      <c r="E12" t="inlineStr"/>
    </row>
    <row r="13">
      <c r="A13" t="inlineStr">
        <is>
          <t>Sevastopol AI</t>
        </is>
      </c>
      <c r="B13" t="inlineStr">
        <is>
          <t>Фото/видео-съёмка заведения</t>
        </is>
      </c>
      <c r="C13" t="inlineStr">
        <is>
          <t>8 000 ₽</t>
        </is>
      </c>
      <c r="D13" t="inlineStr">
        <is>
          <t>12 000–20 000 ₽</t>
        </is>
      </c>
      <c r="E13" t="inlineStr">
        <is>
          <t>С партнёром по оборудованию</t>
        </is>
      </c>
    </row>
    <row r="14">
      <c r="A14" t="inlineStr">
        <is>
          <t>Sevastopol AI</t>
        </is>
      </c>
      <c r="B14" t="inlineStr">
        <is>
          <t>QR-стойка в заведении</t>
        </is>
      </c>
      <c r="C14" t="inlineStr">
        <is>
          <t>бесплатно</t>
        </is>
      </c>
      <c r="D14" t="inlineStr">
        <is>
          <t>—</t>
        </is>
      </c>
      <c r="E14" t="inlineStr">
        <is>
          <t>Это наш канал привлечения, не их реклама</t>
        </is>
      </c>
    </row>
    <row r="15">
      <c r="A15" t="inlineStr">
        <is>
          <t>Мерч</t>
        </is>
      </c>
      <c r="B15" t="inlineStr">
        <is>
          <t>Физический City Passport</t>
        </is>
      </c>
      <c r="C15" t="inlineStr">
        <is>
          <t>1 500 ₽</t>
        </is>
      </c>
      <c r="D15" t="inlineStr">
        <is>
          <t>1 500 ₽</t>
        </is>
      </c>
      <c r="E15" t="inlineStr">
        <is>
          <t>Себестоимость ~400 ₽</t>
        </is>
      </c>
    </row>
    <row r="16">
      <c r="A16" t="inlineStr">
        <is>
          <t>Мерч</t>
        </is>
      </c>
      <c r="B16" t="inlineStr">
        <is>
          <t>Брелок «6 ключей»</t>
        </is>
      </c>
      <c r="C16" t="inlineStr">
        <is>
          <t>1 200 ₽</t>
        </is>
      </c>
      <c r="D16" t="inlineStr">
        <is>
          <t>1 200 ₽</t>
        </is>
      </c>
      <c r="E16" t="inlineStr"/>
    </row>
    <row r="17">
      <c r="A17" t="inlineStr">
        <is>
          <t>Мерч</t>
        </is>
      </c>
      <c r="B17" t="inlineStr">
        <is>
          <t>Худи City Code</t>
        </is>
      </c>
      <c r="C17" t="inlineStr">
        <is>
          <t>4 900 ₽</t>
        </is>
      </c>
      <c r="D17" t="inlineStr">
        <is>
          <t>4 900 ₽</t>
        </is>
      </c>
      <c r="E17" t="inlineStr">
        <is>
          <t>Участникам −10%</t>
        </is>
      </c>
    </row>
    <row r="18">
      <c r="A18" t="inlineStr">
        <is>
          <t>ЦФА (YuRich)</t>
        </is>
      </c>
      <c r="B18" t="inlineStr">
        <is>
          <t>Созвон</t>
        </is>
      </c>
      <c r="C18" t="inlineStr">
        <is>
          <t>0 ₽</t>
        </is>
      </c>
      <c r="D18" t="inlineStr">
        <is>
          <t>0 ₽</t>
        </is>
      </c>
      <c r="E18" t="inlineStr">
        <is>
          <t>30–40 мин</t>
        </is>
      </c>
    </row>
    <row r="19">
      <c r="A19" t="inlineStr">
        <is>
          <t>ЦФА (YuRich)</t>
        </is>
      </c>
      <c r="B19" t="inlineStr">
        <is>
          <t>Разбор</t>
        </is>
      </c>
      <c r="C19" t="inlineStr">
        <is>
          <t>80 000 ₽</t>
        </is>
      </c>
      <c r="D19" t="inlineStr">
        <is>
          <t>80 000 ₽</t>
        </is>
      </c>
      <c r="E19" t="inlineStr">
        <is>
          <t>1–2 недели</t>
        </is>
      </c>
    </row>
    <row r="20">
      <c r="A20" t="inlineStr">
        <is>
          <t>ЦФА (YuRich)</t>
        </is>
      </c>
      <c r="B20" t="inlineStr">
        <is>
          <t>Сборка выпуска</t>
        </is>
      </c>
      <c r="C20" t="inlineStr">
        <is>
          <t>250–400 тыс. ₽</t>
        </is>
      </c>
      <c r="D20" t="inlineStr">
        <is>
          <t>250–400 тыс. ₽</t>
        </is>
      </c>
      <c r="E20" t="inlineStr">
        <is>
          <t>2–4 недели</t>
        </is>
      </c>
    </row>
    <row r="21">
      <c r="A21" t="inlineStr">
        <is>
          <t>ЦФА (YuRich)</t>
        </is>
      </c>
      <c r="B21" t="inlineStr">
        <is>
          <t>Посадка на площадку</t>
        </is>
      </c>
      <c r="C21" t="inlineStr">
        <is>
          <t>200–350 тыс. ₽</t>
        </is>
      </c>
      <c r="D21" t="inlineStr">
        <is>
          <t>200–350 тыс. ₽</t>
        </is>
      </c>
      <c r="E21" t="inlineStr">
        <is>
          <t>На сайте не указана — добавить</t>
        </is>
      </c>
    </row>
    <row r="22">
      <c r="A22" t="inlineStr">
        <is>
          <t>ЦФА (YuRich)</t>
        </is>
      </c>
      <c r="B22" t="inlineStr">
        <is>
          <t>Сопровождение</t>
        </is>
      </c>
      <c r="C22" t="inlineStr">
        <is>
          <t>40 000 ₽/мес</t>
        </is>
      </c>
      <c r="D22" t="inlineStr">
        <is>
          <t>40 000 ₽/мес</t>
        </is>
      </c>
      <c r="E22" t="inlineStr"/>
    </row>
    <row r="23">
      <c r="A23" t="inlineStr">
        <is>
          <t>ЦФА (YuRich)</t>
        </is>
      </c>
      <c r="B23" t="inlineStr">
        <is>
          <t>% за привлечённый спрос</t>
        </is>
      </c>
      <c r="C23" t="inlineStr">
        <is>
          <t>3–7%</t>
        </is>
      </c>
      <c r="D23" t="inlineStr">
        <is>
          <t>3–7%</t>
        </is>
      </c>
      <c r="E23" t="inlineStr">
        <is>
          <t>Только если спрос мой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6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0" t="inlineStr">
        <is>
          <t>Сроки до порогов XP (симуляция на настоящем коде бота: economics/xp_simulator.py)</t>
        </is>
      </c>
    </row>
    <row r="3">
      <c r="A3" s="10" t="inlineStr">
        <is>
          <t>Сейчас (как в коде)</t>
        </is>
      </c>
    </row>
    <row r="4">
      <c r="A4" t="inlineStr">
        <is>
          <t>Профиль</t>
        </is>
      </c>
      <c r="B4" t="inlineStr">
        <is>
          <t>100 XP · Житель</t>
        </is>
      </c>
      <c r="C4" t="inlineStr">
        <is>
          <t>300 XP · Исследователь</t>
        </is>
      </c>
      <c r="D4" t="inlineStr">
        <is>
          <t>800 XP · Проводник</t>
        </is>
      </c>
      <c r="E4" t="inlineStr">
        <is>
          <t>2000 XP · Амбассадор</t>
        </is>
      </c>
      <c r="F4" t="inlineStr">
        <is>
          <t>4000 XP · Легенда города</t>
        </is>
      </c>
      <c r="G4" t="inlineStr">
        <is>
          <t>7000 XP · City Code</t>
        </is>
      </c>
    </row>
    <row r="5">
      <c r="A5" t="inlineStr">
        <is>
          <t>Турист / редкий гость</t>
        </is>
      </c>
      <c r="B5" t="inlineStr">
        <is>
          <t>84 дн. (~3 мес.)</t>
        </is>
      </c>
      <c r="C5" t="inlineStr">
        <is>
          <t>287 дн. (~9 мес.)</t>
        </is>
      </c>
      <c r="D5" t="inlineStr">
        <is>
          <t>784 дн. (~2.1 г.)</t>
        </is>
      </c>
      <c r="E5" t="inlineStr">
        <is>
          <t>1988 дн. (~5.4 г.)</t>
        </is>
      </c>
      <c r="F5" t="inlineStr">
        <is>
          <t>&gt; 6 лет</t>
        </is>
      </c>
      <c r="G5" t="inlineStr">
        <is>
          <t>&gt; 6 лет</t>
        </is>
      </c>
    </row>
    <row r="6">
      <c r="A6" t="inlineStr">
        <is>
          <t>Житель: заходит 3 раза в неделю</t>
        </is>
      </c>
      <c r="B6" t="inlineStr">
        <is>
          <t>28 дн.</t>
        </is>
      </c>
      <c r="C6" t="inlineStr">
        <is>
          <t>93 дн. (~3 мес.)</t>
        </is>
      </c>
      <c r="D6" t="inlineStr">
        <is>
          <t>260 дн. (~9 мес.)</t>
        </is>
      </c>
      <c r="E6" t="inlineStr">
        <is>
          <t>660 дн. (~22 мес.)</t>
        </is>
      </c>
      <c r="F6" t="inlineStr">
        <is>
          <t>1325 дн. (~3.6 г.)</t>
        </is>
      </c>
      <c r="G6" t="inlineStr">
        <is>
          <t>&gt; 6 лет</t>
        </is>
      </c>
    </row>
    <row r="7">
      <c r="A7" t="inlineStr">
        <is>
          <t>Активный: 5 дней в неделю, всё меню</t>
        </is>
      </c>
      <c r="B7" t="inlineStr">
        <is>
          <t>7 дн.</t>
        </is>
      </c>
      <c r="C7" t="inlineStr">
        <is>
          <t>25 дн.</t>
        </is>
      </c>
      <c r="D7" t="inlineStr">
        <is>
          <t>72 дн. (~2 мес.)</t>
        </is>
      </c>
      <c r="E7" t="inlineStr">
        <is>
          <t>184 дн. (~6 мес.)</t>
        </is>
      </c>
      <c r="F7" t="inlineStr">
        <is>
          <t>371 дн. (~12 мес.)</t>
        </is>
      </c>
      <c r="G7" t="inlineStr">
        <is>
          <t>651 дн. (~21 мес.)</t>
        </is>
      </c>
    </row>
    <row r="8">
      <c r="A8" t="inlineStr">
        <is>
          <t>Фармер кнопок: каждый день все 8 действий</t>
        </is>
      </c>
      <c r="B8" t="inlineStr">
        <is>
          <t>4 дн.</t>
        </is>
      </c>
      <c r="C8" t="inlineStr">
        <is>
          <t>13 дн.</t>
        </is>
      </c>
      <c r="D8" t="inlineStr">
        <is>
          <t>35 дн.</t>
        </is>
      </c>
      <c r="E8" t="inlineStr">
        <is>
          <t>90 дн. (~3 мес.)</t>
        </is>
      </c>
      <c r="F8" t="inlineStr">
        <is>
          <t>181 дн. (~6 мес.)</t>
        </is>
      </c>
      <c r="G8" t="inlineStr">
        <is>
          <t>317 дн. (~10 мес.)</t>
        </is>
      </c>
    </row>
    <row r="9">
      <c r="A9" t="inlineStr">
        <is>
          <t>Вкладчик города: активный + 2 места + 1 событие + 1 друг в месяц</t>
        </is>
      </c>
      <c r="B9" t="inlineStr">
        <is>
          <t>3 дн.</t>
        </is>
      </c>
      <c r="C9" t="inlineStr">
        <is>
          <t>10 дн.</t>
        </is>
      </c>
      <c r="D9" t="inlineStr">
        <is>
          <t>40 дн.</t>
        </is>
      </c>
      <c r="E9" t="inlineStr">
        <is>
          <t>112 дн. (~4 мес.)</t>
        </is>
      </c>
      <c r="F9" t="inlineStr">
        <is>
          <t>225 дн. (~7 мес.)</t>
        </is>
      </c>
      <c r="G9" t="inlineStr">
        <is>
          <t>396 дн. (~13 мес.)</t>
        </is>
      </c>
    </row>
    <row r="10">
      <c r="A10" t="inlineStr">
        <is>
          <t>Амбассадор: вкладчик + 4 места + 2 события + 3 друга в месяц</t>
        </is>
      </c>
      <c r="B10" t="inlineStr">
        <is>
          <t>3 дн.</t>
        </is>
      </c>
      <c r="C10" t="inlineStr">
        <is>
          <t>10 дн.</t>
        </is>
      </c>
      <c r="D10" t="inlineStr">
        <is>
          <t>29 дн.</t>
        </is>
      </c>
      <c r="E10" t="inlineStr">
        <is>
          <t>77 дн. (~3 мес.)</t>
        </is>
      </c>
      <c r="F10" t="inlineStr">
        <is>
          <t>152 дн. (~5 мес.)</t>
        </is>
      </c>
      <c r="G10" t="inlineStr">
        <is>
          <t>268 дн. (~9 мес.)</t>
        </is>
      </c>
    </row>
    <row r="11">
      <c r="A11" t="inlineStr">
        <is>
          <t>Партнёр-точка: житель + узел подключён (+200) и жив каждый месяц (+80)</t>
        </is>
      </c>
      <c r="B11" t="inlineStr">
        <is>
          <t>3 дн.</t>
        </is>
      </c>
      <c r="C11" t="inlineStr">
        <is>
          <t>28 дн.</t>
        </is>
      </c>
      <c r="D11" t="inlineStr">
        <is>
          <t>113 дн. (~4 мес.)</t>
        </is>
      </c>
      <c r="E11" t="inlineStr">
        <is>
          <t>329 дн. (~11 мес.)</t>
        </is>
      </c>
      <c r="F11" t="inlineStr">
        <is>
          <t>673 дн. (~22 мес.)</t>
        </is>
      </c>
      <c r="G11" t="inlineStr">
        <is>
          <t>1203 дн. (~3.3 г.)</t>
        </is>
      </c>
    </row>
    <row r="13">
      <c r="A13" s="10" t="inlineStr">
        <is>
          <t>Предложение: кнопки ≤10 XP/день, вклад весит больше</t>
        </is>
      </c>
    </row>
    <row r="14">
      <c r="A14" t="inlineStr">
        <is>
          <t>Профиль</t>
        </is>
      </c>
      <c r="B14" t="inlineStr">
        <is>
          <t>100 XP · Житель</t>
        </is>
      </c>
      <c r="C14" t="inlineStr">
        <is>
          <t>300 XP · Исследователь</t>
        </is>
      </c>
      <c r="D14" t="inlineStr">
        <is>
          <t>800 XP · Проводник</t>
        </is>
      </c>
      <c r="E14" t="inlineStr">
        <is>
          <t>2000 XP · Амбассадор</t>
        </is>
      </c>
      <c r="F14" t="inlineStr">
        <is>
          <t>4000 XP · Легенда города</t>
        </is>
      </c>
      <c r="G14" t="inlineStr">
        <is>
          <t>7000 XP · City Code</t>
        </is>
      </c>
    </row>
    <row r="15">
      <c r="A15" t="inlineStr">
        <is>
          <t>Турист / редкий гость</t>
        </is>
      </c>
      <c r="B15" t="inlineStr">
        <is>
          <t>119 дн. (~4 мес.)</t>
        </is>
      </c>
      <c r="C15" t="inlineStr">
        <is>
          <t>399 дн. (~13 мес.)</t>
        </is>
      </c>
      <c r="D15" t="inlineStr">
        <is>
          <t>1099 дн. (~3.0 г.)</t>
        </is>
      </c>
      <c r="E15" t="inlineStr">
        <is>
          <t>&gt; 6 лет</t>
        </is>
      </c>
      <c r="F15" t="inlineStr">
        <is>
          <t>&gt; 6 лет</t>
        </is>
      </c>
      <c r="G15" t="inlineStr">
        <is>
          <t>&gt; 6 лет</t>
        </is>
      </c>
    </row>
    <row r="16">
      <c r="A16" t="inlineStr">
        <is>
          <t>Житель: заходит 3 раза в неделю</t>
        </is>
      </c>
      <c r="B16" t="inlineStr">
        <is>
          <t>37 дн.</t>
        </is>
      </c>
      <c r="C16" t="inlineStr">
        <is>
          <t>133 дн. (~4 мес.)</t>
        </is>
      </c>
      <c r="D16" t="inlineStr">
        <is>
          <t>365 дн. (~12 мес.)</t>
        </is>
      </c>
      <c r="E16" t="inlineStr">
        <is>
          <t>925 дн. (~2.5 г.)</t>
        </is>
      </c>
      <c r="F16" t="inlineStr">
        <is>
          <t>1857 дн. (~5.1 г.)</t>
        </is>
      </c>
      <c r="G16" t="inlineStr">
        <is>
          <t>&gt; 6 лет</t>
        </is>
      </c>
    </row>
    <row r="17">
      <c r="A17" t="inlineStr">
        <is>
          <t>Активный: 5 дней в неделю, всё меню</t>
        </is>
      </c>
      <c r="B17" t="inlineStr">
        <is>
          <t>10 дн.</t>
        </is>
      </c>
      <c r="C17" t="inlineStr">
        <is>
          <t>38 дн.</t>
        </is>
      </c>
      <c r="D17" t="inlineStr">
        <is>
          <t>108 дн. (~4 мес.)</t>
        </is>
      </c>
      <c r="E17" t="inlineStr">
        <is>
          <t>276 дн. (~9 мес.)</t>
        </is>
      </c>
      <c r="F17" t="inlineStr">
        <is>
          <t>556 дн. (~18 мес.)</t>
        </is>
      </c>
      <c r="G17" t="inlineStr">
        <is>
          <t>976 дн. (~2.7 г.)</t>
        </is>
      </c>
    </row>
    <row r="18">
      <c r="A18" t="inlineStr">
        <is>
          <t>Фармер кнопок: каждый день все 8 действий</t>
        </is>
      </c>
      <c r="B18" t="inlineStr">
        <is>
          <t>8 дн.</t>
        </is>
      </c>
      <c r="C18" t="inlineStr">
        <is>
          <t>28 дн.</t>
        </is>
      </c>
      <c r="D18" t="inlineStr">
        <is>
          <t>78 дн. (~3 мес.)</t>
        </is>
      </c>
      <c r="E18" t="inlineStr">
        <is>
          <t>198 дн. (~7 мес.)</t>
        </is>
      </c>
      <c r="F18" t="inlineStr">
        <is>
          <t>398 дн. (~13 мес.)</t>
        </is>
      </c>
      <c r="G18" t="inlineStr">
        <is>
          <t>698 дн. (~23 мес.)</t>
        </is>
      </c>
    </row>
    <row r="19">
      <c r="A19" t="inlineStr">
        <is>
          <t>Вкладчик города: активный + 2 места + 1 событие + 1 друг в месяц</t>
        </is>
      </c>
      <c r="B19" t="inlineStr">
        <is>
          <t>3 дн.</t>
        </is>
      </c>
      <c r="C19" t="inlineStr">
        <is>
          <t>10 дн.</t>
        </is>
      </c>
      <c r="D19" t="inlineStr">
        <is>
          <t>43 дн.</t>
        </is>
      </c>
      <c r="E19" t="inlineStr">
        <is>
          <t>123 дн. (~4 мес.)</t>
        </is>
      </c>
      <c r="F19" t="inlineStr">
        <is>
          <t>246 дн. (~8 мес.)</t>
        </is>
      </c>
      <c r="G19" t="inlineStr">
        <is>
          <t>438 дн. (~14 мес.)</t>
        </is>
      </c>
    </row>
    <row r="20">
      <c r="A20" t="inlineStr">
        <is>
          <t>Амбассадор: вкладчик + 4 места + 2 события + 3 друга в месяц</t>
        </is>
      </c>
      <c r="B20" t="inlineStr">
        <is>
          <t>3 дн.</t>
        </is>
      </c>
      <c r="C20" t="inlineStr">
        <is>
          <t>10 дн.</t>
        </is>
      </c>
      <c r="D20" t="inlineStr">
        <is>
          <t>29 дн.</t>
        </is>
      </c>
      <c r="E20" t="inlineStr">
        <is>
          <t>78 дн. (~3 мес.)</t>
        </is>
      </c>
      <c r="F20" t="inlineStr">
        <is>
          <t>153 дн. (~5 мес.)</t>
        </is>
      </c>
      <c r="G20" t="inlineStr">
        <is>
          <t>273 дн. (~9 мес.)</t>
        </is>
      </c>
    </row>
    <row r="21">
      <c r="A21" t="inlineStr">
        <is>
          <t>Партнёр-точка: житель + узел подключён (+200) и жив каждый месяц (+80)</t>
        </is>
      </c>
      <c r="B21" t="inlineStr">
        <is>
          <t>3 дн.</t>
        </is>
      </c>
      <c r="C21" t="inlineStr">
        <is>
          <t>33 дн.</t>
        </is>
      </c>
      <c r="D21" t="inlineStr">
        <is>
          <t>123 дн. (~4 мес.)</t>
        </is>
      </c>
      <c r="E21" t="inlineStr">
        <is>
          <t>385 дн. (~13 мес.)</t>
        </is>
      </c>
      <c r="F21" t="inlineStr">
        <is>
          <t>793 дн. (~2.2 г.)</t>
        </is>
      </c>
      <c r="G21" t="inlineStr">
        <is>
          <t>1413 дн. (~3.9 г.)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2026-10-25T09:14:30Z</dcterms:created>
  <dcterms:modified xmlns:dcterms="http://purl.org/dc/terms/" xmlns:xsi="http://www.w3.org/2001/XMLSchema-instance" xsi:type="dcterms:W3CDTF">2026-10-25T09:14:30Z</dcterms:modified>
</cp:coreProperties>
</file>